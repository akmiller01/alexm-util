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defaultThemeVersion="166925"/>
  <mc:AlternateContent xmlns:mc="http://schemas.openxmlformats.org/markup-compatibility/2006">
    <mc:Choice Requires="x15">
      <x15ac:absPath xmlns:x15ac="http://schemas.microsoft.com/office/spreadsheetml/2010/11/ac" url="C:\git\alexm-util\DevInit\sankey_test\"/>
    </mc:Choice>
  </mc:AlternateContent>
  <bookViews>
    <workbookView xWindow="0" yWindow="0" windowWidth="22680" windowHeight="9780"/>
  </bookViews>
  <sheets>
    <sheet name="nodes" sheetId="1" r:id="rId1"/>
    <sheet name="links" sheetId="2" r:id="rId2"/>
  </sheets>
  <functionGroups builtInGroupCount="18"/>
  <externalReferences>
    <externalReference r:id="rId3"/>
  </externalReferences>
  <definedNames>
    <definedName name="_xlnm._FilterDatabase" localSheetId="1" hidden="1">links!$A$1:$E$497</definedName>
    <definedName name="_xlnm._FilterDatabase" localSheetId="0" hidden="1">nodes!$A$2:$G$272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72" i="1"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 i="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D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E2" i="2"/>
  <c r="D2" i="2"/>
  <c r="J2" i="2" l="1"/>
  <c r="J497" i="2"/>
  <c r="J496" i="2"/>
  <c r="J495" i="2"/>
  <c r="J494" i="2"/>
  <c r="J493" i="2"/>
  <c r="J492" i="2"/>
  <c r="J491" i="2"/>
  <c r="J490" i="2"/>
  <c r="J489" i="2"/>
  <c r="J488" i="2"/>
  <c r="J487" i="2"/>
  <c r="J486" i="2"/>
  <c r="J485" i="2"/>
  <c r="J484" i="2"/>
  <c r="J483" i="2"/>
  <c r="J482" i="2"/>
  <c r="J481" i="2"/>
  <c r="J480" i="2"/>
  <c r="J479" i="2"/>
  <c r="J478" i="2"/>
  <c r="J477" i="2"/>
  <c r="J476" i="2"/>
  <c r="J475" i="2"/>
  <c r="J474" i="2"/>
  <c r="J473" i="2"/>
  <c r="J472" i="2"/>
  <c r="J471" i="2"/>
  <c r="J470" i="2"/>
  <c r="J469" i="2"/>
  <c r="J468" i="2"/>
  <c r="J467" i="2"/>
  <c r="J466" i="2"/>
  <c r="J465" i="2"/>
  <c r="J464" i="2"/>
  <c r="J463" i="2"/>
  <c r="J462" i="2"/>
  <c r="J461" i="2"/>
  <c r="J460" i="2"/>
  <c r="J459" i="2"/>
  <c r="J458" i="2"/>
  <c r="J457" i="2"/>
  <c r="J456" i="2"/>
  <c r="J455" i="2"/>
  <c r="J454" i="2"/>
  <c r="J453" i="2"/>
  <c r="J452" i="2"/>
  <c r="J451" i="2"/>
  <c r="J450" i="2"/>
  <c r="J449" i="2"/>
  <c r="J448" i="2"/>
  <c r="J447" i="2"/>
  <c r="J446" i="2"/>
  <c r="J445" i="2"/>
  <c r="J444" i="2"/>
  <c r="J443" i="2"/>
  <c r="J442" i="2"/>
  <c r="J441" i="2"/>
  <c r="J440" i="2"/>
  <c r="J439" i="2"/>
  <c r="J438" i="2"/>
  <c r="J437" i="2"/>
  <c r="J436" i="2"/>
  <c r="J435" i="2"/>
  <c r="J434" i="2"/>
  <c r="J433" i="2"/>
  <c r="J432" i="2"/>
  <c r="J431" i="2"/>
  <c r="J430" i="2"/>
  <c r="J429" i="2"/>
  <c r="J428" i="2"/>
  <c r="J427" i="2"/>
  <c r="J426" i="2"/>
  <c r="J425" i="2"/>
  <c r="J424" i="2"/>
  <c r="J423" i="2"/>
  <c r="J422" i="2"/>
  <c r="J421" i="2"/>
  <c r="J420" i="2"/>
  <c r="J419" i="2"/>
  <c r="J418" i="2"/>
  <c r="J417" i="2"/>
  <c r="J416" i="2"/>
  <c r="J415" i="2"/>
  <c r="J414" i="2"/>
  <c r="J413" i="2"/>
  <c r="J412" i="2"/>
  <c r="J411" i="2"/>
  <c r="J410" i="2"/>
  <c r="J409" i="2"/>
  <c r="J408" i="2"/>
  <c r="J407" i="2"/>
  <c r="J406" i="2"/>
  <c r="J405" i="2"/>
  <c r="J404" i="2"/>
  <c r="J403" i="2"/>
  <c r="J402" i="2"/>
  <c r="J401" i="2"/>
  <c r="J400" i="2"/>
  <c r="J399" i="2"/>
  <c r="J398" i="2"/>
  <c r="J397" i="2"/>
  <c r="J396" i="2"/>
  <c r="J395" i="2"/>
  <c r="J394" i="2"/>
  <c r="J393" i="2"/>
  <c r="J392" i="2"/>
  <c r="J391" i="2"/>
  <c r="J390" i="2"/>
  <c r="J389" i="2"/>
  <c r="J388" i="2"/>
  <c r="J387" i="2"/>
  <c r="J386" i="2"/>
  <c r="J385" i="2"/>
  <c r="J384" i="2"/>
  <c r="J383" i="2"/>
  <c r="J382" i="2"/>
  <c r="J381" i="2"/>
  <c r="J380" i="2"/>
  <c r="J379" i="2"/>
  <c r="J378" i="2"/>
  <c r="J377" i="2"/>
  <c r="J376" i="2"/>
  <c r="J375" i="2"/>
  <c r="J374" i="2"/>
  <c r="J373" i="2"/>
  <c r="J372" i="2"/>
  <c r="J371" i="2"/>
  <c r="J370" i="2"/>
  <c r="J369" i="2"/>
  <c r="J368" i="2"/>
  <c r="J367" i="2"/>
  <c r="J366" i="2"/>
  <c r="J365" i="2"/>
  <c r="J364" i="2"/>
  <c r="J363" i="2"/>
  <c r="J362" i="2"/>
  <c r="J361" i="2"/>
  <c r="J360" i="2"/>
  <c r="J359" i="2"/>
  <c r="J358" i="2"/>
  <c r="J357" i="2"/>
  <c r="J356" i="2"/>
  <c r="J355" i="2"/>
  <c r="J354" i="2"/>
  <c r="J353" i="2"/>
  <c r="J352" i="2"/>
  <c r="J351" i="2"/>
  <c r="J350" i="2"/>
  <c r="J349" i="2"/>
  <c r="J348" i="2"/>
  <c r="J347" i="2"/>
  <c r="J346" i="2"/>
  <c r="J345" i="2"/>
  <c r="J344" i="2"/>
  <c r="J343" i="2"/>
  <c r="J342" i="2"/>
  <c r="J341" i="2"/>
  <c r="J340" i="2"/>
  <c r="J339" i="2"/>
  <c r="J338" i="2"/>
  <c r="J337" i="2"/>
  <c r="J336" i="2"/>
  <c r="J335" i="2"/>
  <c r="J334" i="2"/>
  <c r="J333" i="2"/>
  <c r="J332" i="2"/>
  <c r="J331" i="2"/>
  <c r="J330" i="2"/>
  <c r="J329" i="2"/>
  <c r="J328" i="2"/>
  <c r="J327" i="2"/>
  <c r="J326" i="2"/>
  <c r="J325" i="2"/>
  <c r="J324" i="2"/>
  <c r="J323" i="2"/>
  <c r="J322" i="2"/>
  <c r="J321" i="2"/>
  <c r="J320" i="2"/>
  <c r="J319" i="2"/>
  <c r="J318" i="2"/>
  <c r="J317" i="2"/>
  <c r="J316" i="2"/>
  <c r="J315" i="2"/>
  <c r="J314" i="2"/>
  <c r="J313" i="2"/>
  <c r="J312" i="2"/>
  <c r="J311" i="2"/>
  <c r="J310" i="2"/>
  <c r="J309" i="2"/>
  <c r="J308" i="2"/>
  <c r="J307" i="2"/>
  <c r="J306" i="2"/>
  <c r="J305" i="2"/>
  <c r="J304" i="2"/>
  <c r="J303" i="2"/>
  <c r="J302" i="2"/>
  <c r="J301" i="2"/>
  <c r="J300" i="2"/>
  <c r="J299" i="2"/>
  <c r="J298" i="2"/>
  <c r="J297" i="2"/>
  <c r="J296" i="2"/>
  <c r="J295" i="2"/>
  <c r="J294" i="2"/>
  <c r="J293" i="2"/>
  <c r="J292" i="2"/>
  <c r="J291" i="2"/>
  <c r="J290" i="2"/>
  <c r="J289" i="2"/>
  <c r="J288" i="2"/>
  <c r="J287" i="2"/>
  <c r="J286" i="2"/>
  <c r="J285" i="2"/>
  <c r="J284" i="2"/>
  <c r="J283" i="2"/>
  <c r="J282" i="2"/>
  <c r="J281" i="2"/>
  <c r="J280" i="2"/>
  <c r="J279" i="2"/>
  <c r="J278" i="2"/>
  <c r="J277" i="2"/>
  <c r="J276" i="2"/>
  <c r="J275" i="2"/>
  <c r="J274" i="2"/>
  <c r="J273" i="2"/>
  <c r="J272" i="2"/>
  <c r="J271" i="2"/>
  <c r="J270" i="2"/>
  <c r="J269" i="2"/>
  <c r="J268" i="2"/>
  <c r="J267" i="2"/>
  <c r="J266" i="2"/>
  <c r="J265" i="2"/>
  <c r="J264" i="2"/>
  <c r="J263" i="2"/>
  <c r="J262" i="2"/>
  <c r="J261" i="2"/>
  <c r="J260" i="2"/>
  <c r="J259" i="2"/>
  <c r="J258" i="2"/>
  <c r="J257" i="2"/>
  <c r="J256" i="2"/>
  <c r="J255" i="2"/>
  <c r="J254" i="2"/>
  <c r="J253" i="2"/>
  <c r="J252" i="2"/>
  <c r="J251" i="2"/>
  <c r="J250" i="2"/>
  <c r="J249" i="2"/>
  <c r="J248" i="2"/>
  <c r="J247" i="2"/>
  <c r="J246" i="2"/>
  <c r="J245" i="2"/>
  <c r="J244" i="2"/>
  <c r="J243" i="2"/>
  <c r="J242" i="2"/>
  <c r="J241" i="2"/>
  <c r="J240" i="2"/>
  <c r="J239" i="2"/>
  <c r="J238" i="2"/>
  <c r="J237" i="2"/>
  <c r="J236" i="2"/>
  <c r="J235" i="2"/>
  <c r="J234" i="2"/>
  <c r="J233" i="2"/>
  <c r="J232" i="2"/>
  <c r="J231" i="2"/>
  <c r="J230" i="2"/>
  <c r="J229" i="2"/>
  <c r="J228" i="2"/>
  <c r="J227" i="2"/>
  <c r="J226" i="2"/>
  <c r="J225" i="2"/>
  <c r="J224" i="2"/>
  <c r="J223" i="2"/>
  <c r="J222" i="2"/>
  <c r="J221" i="2"/>
  <c r="J220" i="2"/>
  <c r="J219" i="2"/>
  <c r="J218" i="2"/>
  <c r="J217" i="2"/>
  <c r="J216" i="2"/>
  <c r="J215" i="2"/>
  <c r="J214" i="2"/>
  <c r="J213" i="2"/>
  <c r="J212" i="2"/>
  <c r="J211" i="2"/>
  <c r="J210" i="2"/>
  <c r="J209" i="2"/>
  <c r="J208" i="2"/>
  <c r="J207" i="2"/>
  <c r="J206" i="2"/>
  <c r="J205" i="2"/>
  <c r="J204" i="2"/>
  <c r="J203" i="2"/>
  <c r="J202" i="2"/>
  <c r="J201" i="2"/>
  <c r="J200" i="2"/>
  <c r="J199" i="2"/>
  <c r="J198" i="2"/>
  <c r="J197" i="2"/>
  <c r="J196" i="2"/>
  <c r="J195" i="2"/>
  <c r="J194" i="2"/>
  <c r="J193" i="2"/>
  <c r="J192" i="2"/>
  <c r="J191" i="2"/>
  <c r="J190" i="2"/>
  <c r="J189" i="2"/>
  <c r="J188" i="2"/>
  <c r="J187" i="2"/>
  <c r="J186" i="2"/>
  <c r="J185" i="2"/>
  <c r="J184" i="2"/>
  <c r="J183" i="2"/>
  <c r="J182" i="2"/>
  <c r="J181" i="2"/>
  <c r="J180" i="2"/>
  <c r="J179" i="2"/>
  <c r="J178" i="2"/>
  <c r="J177" i="2"/>
  <c r="J176" i="2"/>
  <c r="J175" i="2"/>
  <c r="J174" i="2"/>
  <c r="J173" i="2"/>
  <c r="J172" i="2"/>
  <c r="J171" i="2"/>
  <c r="J170" i="2"/>
  <c r="J169" i="2"/>
  <c r="J168" i="2"/>
  <c r="J167" i="2"/>
  <c r="J166" i="2"/>
  <c r="J165" i="2"/>
  <c r="J164" i="2"/>
  <c r="J163" i="2"/>
  <c r="J162" i="2"/>
  <c r="J161" i="2"/>
  <c r="J160" i="2"/>
  <c r="J159" i="2"/>
  <c r="J158" i="2"/>
  <c r="J157" i="2"/>
  <c r="J156" i="2"/>
  <c r="J155" i="2"/>
  <c r="J154" i="2"/>
  <c r="J153" i="2"/>
  <c r="J152" i="2"/>
  <c r="J151" i="2"/>
  <c r="J150" i="2"/>
  <c r="J149" i="2"/>
  <c r="J148" i="2"/>
  <c r="J147" i="2"/>
  <c r="J146" i="2"/>
  <c r="J145" i="2"/>
  <c r="J144" i="2"/>
  <c r="J143" i="2"/>
  <c r="J142" i="2"/>
  <c r="J141" i="2"/>
  <c r="J140" i="2"/>
  <c r="J139" i="2"/>
  <c r="J138" i="2"/>
  <c r="J137" i="2"/>
  <c r="J136" i="2"/>
  <c r="J135" i="2"/>
  <c r="J134" i="2"/>
  <c r="J133" i="2"/>
  <c r="J132" i="2"/>
  <c r="J131" i="2"/>
  <c r="J130" i="2"/>
  <c r="J129" i="2"/>
  <c r="J128" i="2"/>
  <c r="J127" i="2"/>
  <c r="J126" i="2"/>
  <c r="J125" i="2"/>
  <c r="J124" i="2"/>
  <c r="J123" i="2"/>
  <c r="J122" i="2"/>
  <c r="J121" i="2"/>
  <c r="J120" i="2"/>
  <c r="J119" i="2"/>
  <c r="J118" i="2"/>
  <c r="J117" i="2"/>
  <c r="J116" i="2"/>
  <c r="J115" i="2"/>
  <c r="J114" i="2"/>
  <c r="J113"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J6" i="2"/>
  <c r="J5" i="2"/>
  <c r="J4" i="2"/>
  <c r="J3" i="2"/>
</calcChain>
</file>

<file path=xl/sharedStrings.xml><?xml version="1.0" encoding="utf-8"?>
<sst xmlns="http://schemas.openxmlformats.org/spreadsheetml/2006/main" count="4061" uniqueCount="291">
  <si>
    <t>xPos</t>
  </si>
  <si>
    <t>name</t>
  </si>
  <si>
    <t>Sustainable Development Goals</t>
  </si>
  <si>
    <t>17.19.2: Proportion of countries that (a) have conducted at least one population and housing census in the last 10 years; and (b) have achieved 100 per cent birth registration and 80 per cent death registration</t>
  </si>
  <si>
    <t>16.9.1: Proportion of children under 5 years of age whose births have been registered with a civil authority, by age</t>
  </si>
  <si>
    <t>11.1.1: Proportion of urban population living in slums, informal settlements or inadequate housing</t>
  </si>
  <si>
    <t>4.1.1: Proportion of children and young people: (a) in grades 2/3; (b) at the end of primary; and (c) at the end of lower secondary achieving at least a minimum proficiency level in (i) reading and (ii) mathematics, by sex</t>
  </si>
  <si>
    <t>4.6.1: Proportion of population in a given age group achieving at least a fixed level of proficiency in functional (a) literacy and (b) numeracy skills, by sex</t>
  </si>
  <si>
    <t>4.2.2: Participation rate in organized learning (one year before the official primary entry age), by sex</t>
  </si>
  <si>
    <t>4.4.1: Proportion of youth and adults with information and communications technology (ICT) skills, by type of skill</t>
  </si>
  <si>
    <t>4.3.1: Participation rate of youth and adults in formal and non-formal education and training in the previous 12 months, by sex</t>
  </si>
  <si>
    <t>4.2.1: Proportion of children under 5 years of age who are developmentally on track in health, learning and psychosocial well-being, by sex</t>
  </si>
  <si>
    <t>17.6.2: Fixed Internet broadband subscriptions per 100 inhabitants, by speed</t>
  </si>
  <si>
    <t>17.8.1: Proportion of individuals using the Internet</t>
  </si>
  <si>
    <t>4.a.1: Proportion of schools with access to: (a) electricity; (b) the Internet for pedagogical purposes; (c) computers for pedagogical purposes; (d) adapted infrastructure and materials for students with disabilities; (e) basic drinking water; (f) single-sex basic sanitation facilities; and (g) basic handwashing facilities (as per the WASH indicator definitions)</t>
  </si>
  <si>
    <t>3.b.3: Proportion of health facilities that have a core set of relevant essential medicines available and affordable on a sustainable basis</t>
  </si>
  <si>
    <t>3.c.1: Health worker density and distribution</t>
  </si>
  <si>
    <t>3.8.1: Coverage of essential health services (defined as the average coverage of essential services based on tracer interventions that include reproductive, maternal, newborn and child health, infectious diseases, non-communicable diseases and service capacity and access, among the general and the most disadvantaged population)</t>
  </si>
  <si>
    <t>6.1.1: Proportion of population using safely managed drinking water services</t>
  </si>
  <si>
    <t>6.5.1: Degree of integrated water resources management implementation (0-100)</t>
  </si>
  <si>
    <t>6.2.1: Proportion of population using safely managed sanitation services, including a hand-washing facility with soap and water</t>
  </si>
  <si>
    <t>6.3.1: Proportion of wastewater safely treated</t>
  </si>
  <si>
    <t>5.a.1: (a) Proportion of total agricultural population with ownership or secure rights over agricultural land, by sex; and (b) share of women among owners or rights-bearers of agricultural land, by type of tenure</t>
  </si>
  <si>
    <t>4.5.1: Parity indices (female/male, rural/urban, bottom/top wealth quintile and others such as disability status, indigenous peoples and conflict-affected, as data become available) for all education indicators on this list that can be disaggregated</t>
  </si>
  <si>
    <t>17.3.2: Volume of remittances (in United States dollars) as a proportion of total GDP</t>
  </si>
  <si>
    <t>8.10.2: Proportion of adults (15 years and older) with an account at a bank or other financial institution or with a mobile-money-service provider</t>
  </si>
  <si>
    <t>2.3.1: Volume of production per labour unit by classes of farming/pastoral/forestry enterprise size</t>
  </si>
  <si>
    <t>8.5.1: Average hourly earnings of female and male employees, by occupation, age and persons with disabilities</t>
  </si>
  <si>
    <t>2.4.1: Proportion of agricultural area under productive and sustainable agriculture</t>
  </si>
  <si>
    <t>2.3.2: Average income of small-scale food producers, by sex and indigenous status</t>
  </si>
  <si>
    <t>2.5.1: Number of plant and animal genetic resources for food and agriculture secured in either medium or long-term conservation facilities</t>
  </si>
  <si>
    <t>2.5.2: Proportion of local breeds classified as being at risk, not-at-risk or at unknown level of risk of extinction</t>
  </si>
  <si>
    <t>4.c.1: Proportion of teachers in: (a) pre-primary; (b) primary; (c) lower secondary; and (d) upper secondary education who have received at least the minimum organized teacher training (e.g. pedagogical training) pre-service or in-service required for teaching at the relevant level in a given country</t>
  </si>
  <si>
    <t>3.9.1: Mortality rate attributed to household and ambient air pollution</t>
  </si>
  <si>
    <t>6.4.1: Change in water-use efficiency over time</t>
  </si>
  <si>
    <t>3.1.2: Proportion of births attended by skilled health personnel</t>
  </si>
  <si>
    <t>3.2.1: Under-five mortality rate</t>
  </si>
  <si>
    <t>3.a.1: Age-standardized prevalence of current tobacco use among persons aged 15 years and older</t>
  </si>
  <si>
    <t>9.2.2: Manufacturing employment as a proportion of total employment</t>
  </si>
  <si>
    <t>3.5.2: Harmful use of alcohol, defined according to the national context as alcohol per capita consumption (aged 15 years and older) within a calendar year in litres of pure alcohol</t>
  </si>
  <si>
    <t>16.2.3: Proportion of young women and men aged 18?29 years who experienced sexual violence by age 18</t>
  </si>
  <si>
    <t>5.2.2: Proportion of women and girls aged 15 years and older subjected to sexual violence by persons other than an intimate partner in the previous 12 months, by age and place of occurrence</t>
  </si>
  <si>
    <t>2.1.2: Prevalence of moderate or severe food insecurity in the population, based on the Food Insecurity Experience Scale (FIES)</t>
  </si>
  <si>
    <t>2.c.1: Indicator of food price anomalies</t>
  </si>
  <si>
    <t>4.7.1: Extent to which (i) global citizenship education and (ii) education for sustainable development, including gender equality and human rights, are mainstreamed at all levels in: (a) national education policies; (b) curricula; (c) teacher education; and (d) student assessment</t>
  </si>
  <si>
    <t>8.3.1: Proportion of informal employment in non?agriculture employment, by sex</t>
  </si>
  <si>
    <t>8.1.1: Annual growth rate of real GDP per capita</t>
  </si>
  <si>
    <t>9.3.1: Proportion of small-scale industries in total industry value added</t>
  </si>
  <si>
    <t>8.9.1: Tourism direct GDP as a proportion of total GDP and in growth rate</t>
  </si>
  <si>
    <t>8.2.1: Annual growth rate of real GDP per employed person</t>
  </si>
  <si>
    <t>15.8.1: Proportion of countries adopting relevant national legislation and adequately resourcing the prevention or control of invasive alien species</t>
  </si>
  <si>
    <t>15.7.1: Proportion of traded wildlife that was poached or illicitly trafficked</t>
  </si>
  <si>
    <t>17.9.1: Dollar value of financial and technical assistance (including through North-South, South-South and triangular cooperation) committed to developing countries</t>
  </si>
  <si>
    <t>15.1.2: Proportion of important sites for terrestrial and freshwater biodiversity that are covered by protected areas, by ecosystem type</t>
  </si>
  <si>
    <t>15.b.1: Official development assistance and public expenditure on conservation and sustainable use of biodiversity and ecosystems</t>
  </si>
  <si>
    <t>15.6.1: Number of countries that have adopted legislative, administrative and policy frameworks to ensure fair and equitable sharing of benefits</t>
  </si>
  <si>
    <t>1.a.3: Sum of total grants and non-debt-creating inflows directly allocated to poverty reduction programmes as a proportion of GDP</t>
  </si>
  <si>
    <t>1.5.3: Number of countries that adopt and implement national disaster risk reduction strategies in line with the Sendai Framework for Disaster Risk Reduction 2015-2030</t>
  </si>
  <si>
    <t>1.5.1: Number of deaths, missing persons and directly affected persons attributed to disasters per 100,000 population</t>
  </si>
  <si>
    <t>1.b.1: Proportion of government recurrent and capital spending to sectors that disproportionately benefit women, the poor and vulnerable groups</t>
  </si>
  <si>
    <t>2.1.1: Prevalence of undernourishment</t>
  </si>
  <si>
    <t>2.2.1: Prevalence of stunting (height for age &lt;-2 standard deviation from the median of the World Health Organization (WHO) Child Growth Standards) among children under 5 years of age</t>
  </si>
  <si>
    <t>2.2.2: Prevalence of malnutrition (weight for height &gt;+2 or &lt;-2 standard deviation from the median of the WHO Child Growth Standards) among children under 5 years of age, by type (wasting and overweight)</t>
  </si>
  <si>
    <t>5.1.1: Whether or not legal frameworks are in place to promote, enforce and monitor equality and non?discrimination on the basis of sex</t>
  </si>
  <si>
    <t>5.2.1: Proportion of ever-partnered women and girls aged 15 years and older subjected to physical, sexual or psychological violence by a current or former intimate partner in the previous 12 months, by form of violence and by age</t>
  </si>
  <si>
    <t>5.3.1: Proportion of women aged 20-24 years who were married or in a union before age 15 and before age 18</t>
  </si>
  <si>
    <t>5.a.2: Proportion of countries where the legal framework (including customary law) guarantees women’s equal rights to land ownership and/or control</t>
  </si>
  <si>
    <t>5.5.1: Proportion of seats held by women in (a) national parliaments and (b) local governments</t>
  </si>
  <si>
    <t>5.6.2: Number of countries with laws and regulations that guarantee full and equal access to women and men aged 15 years and older to sexual and reproductive health care, information and education</t>
  </si>
  <si>
    <t>5.c.1: Proportion of countries with systems to track and make public allocations for gender equality and women’s empowerment</t>
  </si>
  <si>
    <t>5.b.1: Proportion of individuals who own a mobile telephone, by sex</t>
  </si>
  <si>
    <t>6.6.1: Change in the extent of water-related ecosystems over time</t>
  </si>
  <si>
    <t>6.5.2: Proportion of transboundary basin area with an operational arrangement for water cooperation</t>
  </si>
  <si>
    <t>6.4.2: Level of water stress: freshwater withdrawal as a proportion of available freshwater resources</t>
  </si>
  <si>
    <t>6.3.2: Proportion of bodies of water with good ambient water quality</t>
  </si>
  <si>
    <t>6.b.1: Proportion of local administrative units with established and operational policies and procedures for participation of local communities in water and sanitation management</t>
  </si>
  <si>
    <t>6.a.1: Amount of water- and sanitation-related official development assistance that is part of a government-coordinated spending plan</t>
  </si>
  <si>
    <t>9.1.2: Passenger and freight volumes, by mode of transport</t>
  </si>
  <si>
    <t>11.2.1: Proportion of population that has convenient access to public transport, by sex, age and persons with disabilities</t>
  </si>
  <si>
    <t>3.9.2: Mortality rate attributed to unsafe water, unsafe sanitation and lack of hygiene (exposure to unsafe Water, Sanitation and Hygiene for All (WASH) services)</t>
  </si>
  <si>
    <t>11.c.1: Proportion of financial support to the least developed countries that is allocated to the construction and retrofitting of sustainable, resilient and resource-efficient buildings utilizing local materials</t>
  </si>
  <si>
    <t>17.7.1: Total amount of approved funding for developing countries to promote the development, transfer, dissemination and diffusion of environmentally sound technologies</t>
  </si>
  <si>
    <t>Birth certificate ownership (NHPC)</t>
  </si>
  <si>
    <t>Ethnicity (NHPC)</t>
  </si>
  <si>
    <t>School dropout status (NHPC)</t>
  </si>
  <si>
    <t>Formal education grade completed (NHPC)</t>
  </si>
  <si>
    <t>Field of specialisation (NHPC)</t>
  </si>
  <si>
    <t>Ability to read and write (NHPC)</t>
  </si>
  <si>
    <t>Mobile phone ownership (NHPC)</t>
  </si>
  <si>
    <t>Internet use (NHPC)</t>
  </si>
  <si>
    <t>Public Health Facility (NHPC)</t>
  </si>
  <si>
    <t>Drinking water source (NHPC)</t>
  </si>
  <si>
    <t>Drinking water source distance (NHPC)</t>
  </si>
  <si>
    <t>Toilet facility type (NHPC)</t>
  </si>
  <si>
    <t>Toilet facility sharing (NHPC)</t>
  </si>
  <si>
    <t>Solid waste disposal method (NHPC)</t>
  </si>
  <si>
    <t>Assets owned (NHPC)</t>
  </si>
  <si>
    <t>Information sources (NHPC)</t>
  </si>
  <si>
    <t>Postal services usage (NHPC)</t>
  </si>
  <si>
    <t>Remittances received (NHPC)</t>
  </si>
  <si>
    <t>Remittances - country of origin (NHPC)</t>
  </si>
  <si>
    <t>Bank account functioning (NHPC)</t>
  </si>
  <si>
    <t>Household based enterprise (NHPC)</t>
  </si>
  <si>
    <t>Enterprise type (NHPC)</t>
  </si>
  <si>
    <t>Agricultural activities (NHPC)</t>
  </si>
  <si>
    <t>Production use (NHPC)</t>
  </si>
  <si>
    <t>Crops grown (NHPC)</t>
  </si>
  <si>
    <t>Farm ownership (NHPC)</t>
  </si>
  <si>
    <t>Irrigation use (NHPC)</t>
  </si>
  <si>
    <t>Land ownership (NHPC)</t>
  </si>
  <si>
    <t>MANUFACTURER (NDA)</t>
  </si>
  <si>
    <t>DRUG NAME (NDA)</t>
  </si>
  <si>
    <t>REGISTRATION NUMBER(NDA)</t>
  </si>
  <si>
    <t>GENERIC NAME(NDA)</t>
  </si>
  <si>
    <t>DRUG STRENGTH (NDA)</t>
  </si>
  <si>
    <t>DOSAGE  FORM (NDA)</t>
  </si>
  <si>
    <t>Name of APPLICANT (NDA)</t>
  </si>
  <si>
    <t>Drug PACK SIZES (NDA)</t>
  </si>
  <si>
    <t>DRUG LICENCE HOLDER (NDA)</t>
  </si>
  <si>
    <t>COUNTRY OF MAKE (NDA)</t>
  </si>
  <si>
    <t>Commonly used type of health facility (CSD)</t>
  </si>
  <si>
    <t>Handling of patients by health facilities (CSD)</t>
  </si>
  <si>
    <t>Health facility ease of access - reception (CSD)</t>
  </si>
  <si>
    <t>Health facility ease of access - information and guidance (CSD)</t>
  </si>
  <si>
    <t>Health facility ease of access - flow of care (CSD)</t>
  </si>
  <si>
    <t>Health facility ease of access - sign posts (CSD)</t>
  </si>
  <si>
    <t>Treatment or handling of patients by healthworkers (CSD)</t>
  </si>
  <si>
    <t>Health facilities access issues (CSD)</t>
  </si>
  <si>
    <t>Minimising health facilities access issues (CSD)</t>
  </si>
  <si>
    <t>Improvement in access to safe water (CSD)</t>
  </si>
  <si>
    <t>Ever protected water catchment areas (CSD)</t>
  </si>
  <si>
    <t>Activities to protect water catchment areas (CSD)</t>
  </si>
  <si>
    <t>Payment for water (CSD)</t>
  </si>
  <si>
    <t>Amount paid for water (CSD)</t>
  </si>
  <si>
    <t>Quantity of water used (CSD)</t>
  </si>
  <si>
    <t>Purpose of the water payments (CSD)</t>
  </si>
  <si>
    <t>Usual monthly cost of water (CSD)</t>
  </si>
  <si>
    <t>Affordability of the water costs (CSD)</t>
  </si>
  <si>
    <t>Households using safe water facilities (CSD)</t>
  </si>
  <si>
    <t>reasons for incomplete latrine or toilet coverage (CSD)</t>
  </si>
  <si>
    <t>Availability of school faciities (CSD)</t>
  </si>
  <si>
    <t>Adquancy of eduction facilities at the school (CSD)</t>
  </si>
  <si>
    <t>Type of buidings at school (CSD)</t>
  </si>
  <si>
    <t>Condition of the facilities  at school (CSD)</t>
  </si>
  <si>
    <t>Number of facilities built in the last 3 years  at school (CSD)</t>
  </si>
  <si>
    <t>Number of stances for boys  at school (CSD)</t>
  </si>
  <si>
    <t>Number of stances for girls  at school (CSD)</t>
  </si>
  <si>
    <t>Handwashing facilities  at school (CSD)</t>
  </si>
  <si>
    <t>Separate toilet facilities for teachers  at school (CSD)</t>
  </si>
  <si>
    <t>Number of stances for male teachers  at school (CSD)</t>
  </si>
  <si>
    <t>Number of stances for female teachers  at school (CSD)</t>
  </si>
  <si>
    <t>Number of shared stances  at school (CSD)</t>
  </si>
  <si>
    <t>Toilet facility carters for physically impaired children  at school (CSD)</t>
  </si>
  <si>
    <t>First aid facilities  at school (CSD)</t>
  </si>
  <si>
    <t>Whoadministers First Aid at the school (CSD)</t>
  </si>
  <si>
    <t>Source of drinking water at the school (CSD)</t>
  </si>
  <si>
    <t>Source of drinking water at the school ranked (CSD)</t>
  </si>
  <si>
    <t>Distance to each important drinking water source (CSD)</t>
  </si>
  <si>
    <t>How reliable are these important water sources? (CSD)</t>
  </si>
  <si>
    <t>Items provided to students (CSD)</t>
  </si>
  <si>
    <t>Are items provided to students charged (CSD)</t>
  </si>
  <si>
    <t>Average amount charged per child per item (CSD)</t>
  </si>
  <si>
    <t>Frequency of payment per item (CSD)</t>
  </si>
  <si>
    <t>Total number of candidates examined - boys (CSD)</t>
  </si>
  <si>
    <t>Total number of candidates examined - girls (CSD)</t>
  </si>
  <si>
    <t>Number who passed with grade one (1) - boys (CSD)</t>
  </si>
  <si>
    <t>Number who passed with grade one (1) - girls (CSD)</t>
  </si>
  <si>
    <t>Number who passed with grade two (2) - boys (CSD)</t>
  </si>
  <si>
    <t>Number who passed with grade two (2) - girls (CSD)</t>
  </si>
  <si>
    <t>Number who passed with grade three (3) - boys (CSD)</t>
  </si>
  <si>
    <t>Number who passed with grade three (3) - girl (CSD)</t>
  </si>
  <si>
    <t>Are there any pupils who left school before completing P.7 (CSD)</t>
  </si>
  <si>
    <t>Number who left before completing P.7 per year - boys (CSD)</t>
  </si>
  <si>
    <t>Number who left before completing P.7 per year - girls (CSD)</t>
  </si>
  <si>
    <t>MOST common reason for leaving school - boys (CSD)</t>
  </si>
  <si>
    <t>MOST common reason for leaving school - girls (CSD)</t>
  </si>
  <si>
    <t>Does the school hold meetings (CSD)</t>
  </si>
  <si>
    <t>When was the last school meeting held - month (CSD)</t>
  </si>
  <si>
    <t>When was the last school meeting held - year (CSD)</t>
  </si>
  <si>
    <t>Minutes kept for the school meetings (CSD)</t>
  </si>
  <si>
    <t>School meetings frequency (CSD)</t>
  </si>
  <si>
    <t>Additional teachers required in school to meet the government ceilings - number of teachers (CSD)</t>
  </si>
  <si>
    <t>Additional teachers required in school to meet the government ceilings - additional number required (CSD)</t>
  </si>
  <si>
    <t>Does someone supervise or monitor the school (CSD)</t>
  </si>
  <si>
    <t>Last visit by a school supervisor- month (CSD)</t>
  </si>
  <si>
    <t>Last visit by a school supervisor- year (CSD)</t>
  </si>
  <si>
    <t>Frequency of school supervision/monitoring (CSD)</t>
  </si>
  <si>
    <t>District (VR)</t>
  </si>
  <si>
    <t>Constituency (VR)</t>
  </si>
  <si>
    <t>Sub-County (VR)</t>
  </si>
  <si>
    <t>Parish (VR)</t>
  </si>
  <si>
    <t>Polling station (VR)</t>
  </si>
  <si>
    <t>Voter names (VR)</t>
  </si>
  <si>
    <t>Voter's Age (VR)</t>
  </si>
  <si>
    <t>Voter's Sex (VR)</t>
  </si>
  <si>
    <t>Voter's village (VR)</t>
  </si>
  <si>
    <t>Smoking frequency (UDHS)</t>
  </si>
  <si>
    <t>Drinking water source (UDHS)</t>
  </si>
  <si>
    <t>Water source location (UDHS)</t>
  </si>
  <si>
    <t>Time to water source (UDHS)</t>
  </si>
  <si>
    <t>Safe drinking water usage (UDHS)</t>
  </si>
  <si>
    <t>Ever given birth (UDHS)</t>
  </si>
  <si>
    <t>Children mortality (UDHS)</t>
  </si>
  <si>
    <t>Children mortality - male (UDHS)</t>
  </si>
  <si>
    <t>Children mortality - female (UDHS)</t>
  </si>
  <si>
    <t>Current smoking status (UDHS)</t>
  </si>
  <si>
    <t>Number of cigarettes smoked in the past 24 hours (UDHS)</t>
  </si>
  <si>
    <t>Smoking any form of tobacco (UDHS)</t>
  </si>
  <si>
    <t>Other forms of tobacco used (UDHS)</t>
  </si>
  <si>
    <t>Education level (UGBVS)</t>
  </si>
  <si>
    <t>Ability to read and write (UGBVS)</t>
  </si>
  <si>
    <t>Main econoic activity (UGBVS)</t>
  </si>
  <si>
    <t>Leisure ways (UGBVS)</t>
  </si>
  <si>
    <t>Access to information (UGBVS)</t>
  </si>
  <si>
    <t>Forms of gender based violence (UGBVS)</t>
  </si>
  <si>
    <t>Examples of gender based violence (UGBVS)</t>
  </si>
  <si>
    <t>Commodity (IMIS)</t>
  </si>
  <si>
    <t>Commodity Units (IMIS)</t>
  </si>
  <si>
    <t>Commodity values (IMIS)</t>
  </si>
  <si>
    <t>Unit price (IMIS)</t>
  </si>
  <si>
    <t>Name (UGBVS)</t>
  </si>
  <si>
    <t>Age (UGBVS)</t>
  </si>
  <si>
    <t>Marital Status (WIS)</t>
  </si>
  <si>
    <t>Place to wash  hands (WIS)</t>
  </si>
  <si>
    <t>Place to wash hands - observed (WIS)</t>
  </si>
  <si>
    <t>Water souces used on a regular basis (WIS)</t>
  </si>
  <si>
    <t>Source of drinking water (WIS)</t>
  </si>
  <si>
    <t>Water source for other purposes (WIS)</t>
  </si>
  <si>
    <t>Uses of the water source (WIS)</t>
  </si>
  <si>
    <t>Availability of the water source (WIS)</t>
  </si>
  <si>
    <t>Availability of the water source at specific time (WIS)</t>
  </si>
  <si>
    <t>Period to and from water source (WIS)</t>
  </si>
  <si>
    <t>Ownership of a garden (WIS)</t>
  </si>
  <si>
    <t>Toilet facility used  (WIS)</t>
  </si>
  <si>
    <t>Main toilet facilty used (WIS)</t>
  </si>
  <si>
    <t>Frequency of toilet facilty usage (WIS)</t>
  </si>
  <si>
    <t>Toilet facilty sharing (WIS)</t>
  </si>
  <si>
    <t>Period of water source construction(UWASA)</t>
  </si>
  <si>
    <t>Source of funding for the water source(UWASA)</t>
  </si>
  <si>
    <t>Births registration (BDR)</t>
  </si>
  <si>
    <t xml:space="preserve"> General economic, commercial and labour affairs</t>
  </si>
  <si>
    <t xml:space="preserve"> Recreation, culture and religion</t>
  </si>
  <si>
    <t xml:space="preserve"> Education</t>
  </si>
  <si>
    <t xml:space="preserve"> Economic affairs n.e.c.</t>
  </si>
  <si>
    <t xml:space="preserve"> Public health services</t>
  </si>
  <si>
    <t xml:space="preserve"> Water supply</t>
  </si>
  <si>
    <t xml:space="preserve"> Waste management</t>
  </si>
  <si>
    <t xml:space="preserve"> Communication</t>
  </si>
  <si>
    <t xml:space="preserve"> Agriculture, forestry, fishing and hunting</t>
  </si>
  <si>
    <t xml:space="preserve"> Medical products, appliances and equipment</t>
  </si>
  <si>
    <t xml:space="preserve"> Health</t>
  </si>
  <si>
    <t xml:space="preserve"> General services</t>
  </si>
  <si>
    <t>Gender, Labour and Social Affairs</t>
  </si>
  <si>
    <t xml:space="preserve"> Family and children</t>
  </si>
  <si>
    <t>National Housing and Population Census</t>
  </si>
  <si>
    <t>National Drug Authority Drug Register</t>
  </si>
  <si>
    <t>Community Service Database</t>
  </si>
  <si>
    <t>Voters' register</t>
  </si>
  <si>
    <t>Uganda Demographic and Health Survey</t>
  </si>
  <si>
    <t>Uganda Gender Based Violence Survey</t>
  </si>
  <si>
    <t xml:space="preserve"> Infotrade Market Information Services</t>
  </si>
  <si>
    <t>Water Information System</t>
  </si>
  <si>
    <t>Uganda Water Supply Atlas</t>
  </si>
  <si>
    <t>Births and Deaths register</t>
  </si>
  <si>
    <t>Other administrative sources</t>
  </si>
  <si>
    <t>Business and agricultural surveys</t>
  </si>
  <si>
    <t>Remotely sensed data</t>
  </si>
  <si>
    <t>Population and housing censuses</t>
  </si>
  <si>
    <t>Business and agricultural censuses</t>
  </si>
  <si>
    <t>Household surveys</t>
  </si>
  <si>
    <t>Infotrade Market Information Services</t>
  </si>
  <si>
    <t>value</t>
  </si>
  <si>
    <t>source</t>
  </si>
  <si>
    <t>target</t>
  </si>
  <si>
    <t>{"nodes":[</t>
  </si>
  <si>
    <t>{"name":"</t>
  </si>
  <si>
    <t>},</t>
  </si>
  <si>
    <t>","xPos":</t>
  </si>
  <si>
    <t>],</t>
  </si>
  <si>
    <t>{"source":</t>
  </si>
  <si>
    <t>,"target":</t>
  </si>
  <si>
    <t>,"value":</t>
  </si>
  <si>
    <t>links:[</t>
  </si>
  <si>
    <t>source_id</t>
  </si>
  <si>
    <t>target_id</t>
  </si>
  <si>
    <t>index</t>
  </si>
  <si>
    <t>v1</t>
  </si>
  <si>
    <t>v2</t>
  </si>
  <si>
    <t>v3</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</si>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</sst>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horizontal="left" vertical="top"/>
    </xf>
    <xf numFmtId="0" fontId="0" fillId="0" borderId="0" xfId="0" applyAlignment="1"/>
    <xf numFmtId="0" fontId="0" fillId="0" borderId="0" xfId="0" quotePrefix="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opy%20of%20Ug%20DDA%20Data%2001.08.2017%20v3.0.1%204%20Shaleen%20(0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anisations"/>
      <sheetName val="Sources"/>
      <sheetName val="Series"/>
      <sheetName val="Source - Indicator Links"/>
      <sheetName val="Indicators"/>
      <sheetName val="Indicator Framework"/>
      <sheetName val="Contacts"/>
      <sheetName val="Lookups"/>
      <sheetName val="SDG Indicators"/>
      <sheetName val="SDG Targets"/>
      <sheetName val="SDG Goal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73"/>
  <sheetViews>
    <sheetView tabSelected="1" topLeftCell="A238" workbookViewId="0">
      <selection activeCell="F273" sqref="F273"/>
    </sheetView>
  </sheetViews>
  <sheetFormatPr defaultRowHeight="15" x14ac:dyDescent="0.25"/>
  <sheetData>
    <row r="1" spans="1:7" x14ac:dyDescent="0.25">
      <c r="A1" t="s">
        <v>1</v>
      </c>
      <c r="B1" t="s">
        <v>285</v>
      </c>
      <c r="C1" t="s">
        <v>0</v>
      </c>
      <c r="D1" t="s">
        <v>286</v>
      </c>
      <c r="E1" t="s">
        <v>287</v>
      </c>
      <c r="F1" t="s">
        <v>288</v>
      </c>
      <c r="G1" t="s">
        <v>274</v>
      </c>
    </row>
    <row r="2" spans="1:7" x14ac:dyDescent="0.25">
      <c r="A2" t="s">
        <v>2</v>
      </c>
      <c r="B2">
        <v>0</v>
      </c>
      <c r="C2">
        <v>0</v>
      </c>
      <c r="D2" t="s">
        <v>275</v>
      </c>
      <c r="E2" s="3" t="s">
        <v>277</v>
      </c>
      <c r="F2" t="s">
        <v>276</v>
      </c>
      <c r="G2" t="str">
        <f>CONCATENATE(D2,A2,E2,C2,F2)</f>
        <v>{"name":"Sustainable Development Goals","xPos":0},</v>
      </c>
    </row>
    <row r="3" spans="1:7" x14ac:dyDescent="0.25">
      <c r="A3" s="1" t="s">
        <v>3</v>
      </c>
      <c r="B3">
        <v>1</v>
      </c>
      <c r="C3">
        <v>1</v>
      </c>
      <c r="D3" t="s">
        <v>275</v>
      </c>
      <c r="E3" s="3" t="s">
        <v>277</v>
      </c>
      <c r="F3" t="s">
        <v>276</v>
      </c>
      <c r="G3" t="str">
        <f>CONCATENATE(D3,A3,E3,C3,F3)</f>
        <v>{"name":"17.19.2: Proportion of countries that (a) have conducted at least one population and housing census in the last 10 years; and (b) have achieved 100 per cent birth registration and 80 per cent death registration","xPos":1},</v>
      </c>
    </row>
    <row r="4" spans="1:7" x14ac:dyDescent="0.25">
      <c r="A4" s="1" t="s">
        <v>4</v>
      </c>
      <c r="B4">
        <v>2</v>
      </c>
      <c r="C4">
        <v>1</v>
      </c>
      <c r="D4" t="s">
        <v>275</v>
      </c>
      <c r="E4" s="3" t="s">
        <v>277</v>
      </c>
      <c r="F4" t="s">
        <v>276</v>
      </c>
      <c r="G4" t="str">
        <f>CONCATENATE(D4,A4,E4,C4,F4)</f>
        <v>{"name":"16.9.1: Proportion of children under 5 years of age whose births have been registered with a civil authority, by age","xPos":1},</v>
      </c>
    </row>
    <row r="5" spans="1:7" x14ac:dyDescent="0.25">
      <c r="A5" s="1" t="s">
        <v>5</v>
      </c>
      <c r="B5">
        <v>3</v>
      </c>
      <c r="C5">
        <v>1</v>
      </c>
      <c r="D5" t="s">
        <v>275</v>
      </c>
      <c r="E5" s="3" t="s">
        <v>277</v>
      </c>
      <c r="F5" t="s">
        <v>276</v>
      </c>
      <c r="G5" t="str">
        <f>CONCATENATE(D5,A5,E5,C5,F5)</f>
        <v>{"name":"11.1.1: Proportion of urban population living in slums, informal settlements or inadequate housing","xPos":1},</v>
      </c>
    </row>
    <row r="6" spans="1:7" x14ac:dyDescent="0.25">
      <c r="A6" s="1" t="s">
        <v>6</v>
      </c>
      <c r="B6">
        <v>4</v>
      </c>
      <c r="C6">
        <v>1</v>
      </c>
      <c r="D6" t="s">
        <v>275</v>
      </c>
      <c r="E6" s="3" t="s">
        <v>277</v>
      </c>
      <c r="F6" t="s">
        <v>276</v>
      </c>
      <c r="G6" t="str">
        <f>CONCATENATE(D6,A6,E6,C6,F6)</f>
        <v>{"name":"4.1.1: Proportion of children and young people: (a) in grades 2/3; (b) at the end of primary; and (c) at the end of lower secondary achieving at least a minimum proficiency level in (i) reading and (ii) mathematics, by sex","xPos":1},</v>
      </c>
    </row>
    <row r="7" spans="1:7" x14ac:dyDescent="0.25">
      <c r="A7" s="1" t="s">
        <v>7</v>
      </c>
      <c r="B7">
        <v>5</v>
      </c>
      <c r="C7">
        <v>1</v>
      </c>
      <c r="D7" t="s">
        <v>275</v>
      </c>
      <c r="E7" s="3" t="s">
        <v>277</v>
      </c>
      <c r="F7" t="s">
        <v>276</v>
      </c>
      <c r="G7" t="str">
        <f>CONCATENATE(D7,A7,E7,C7,F7)</f>
        <v>{"name":"4.6.1: Proportion of population in a given age group achieving at least a fixed level of proficiency in functional (a) literacy and (b) numeracy skills, by sex","xPos":1},</v>
      </c>
    </row>
    <row r="8" spans="1:7" x14ac:dyDescent="0.25">
      <c r="A8" s="1" t="s">
        <v>8</v>
      </c>
      <c r="B8">
        <v>6</v>
      </c>
      <c r="C8">
        <v>1</v>
      </c>
      <c r="D8" t="s">
        <v>275</v>
      </c>
      <c r="E8" s="3" t="s">
        <v>277</v>
      </c>
      <c r="F8" t="s">
        <v>276</v>
      </c>
      <c r="G8" t="str">
        <f>CONCATENATE(D8,A8,E8,C8,F8)</f>
        <v>{"name":"4.2.2: Participation rate in organized learning (one year before the official primary entry age), by sex","xPos":1},</v>
      </c>
    </row>
    <row r="9" spans="1:7" x14ac:dyDescent="0.25">
      <c r="A9" s="1" t="s">
        <v>9</v>
      </c>
      <c r="B9">
        <v>7</v>
      </c>
      <c r="C9">
        <v>1</v>
      </c>
      <c r="D9" t="s">
        <v>275</v>
      </c>
      <c r="E9" s="3" t="s">
        <v>277</v>
      </c>
      <c r="F9" t="s">
        <v>276</v>
      </c>
      <c r="G9" t="str">
        <f>CONCATENATE(D9,A9,E9,C9,F9)</f>
        <v>{"name":"4.4.1: Proportion of youth and adults with information and communications technology (ICT) skills, by type of skill","xPos":1},</v>
      </c>
    </row>
    <row r="10" spans="1:7" x14ac:dyDescent="0.25">
      <c r="A10" s="1" t="s">
        <v>10</v>
      </c>
      <c r="B10">
        <v>8</v>
      </c>
      <c r="C10">
        <v>1</v>
      </c>
      <c r="D10" t="s">
        <v>275</v>
      </c>
      <c r="E10" s="3" t="s">
        <v>277</v>
      </c>
      <c r="F10" t="s">
        <v>276</v>
      </c>
      <c r="G10" t="str">
        <f>CONCATENATE(D10,A10,E10,C10,F10)</f>
        <v>{"name":"4.3.1: Participation rate of youth and adults in formal and non-formal education and training in the previous 12 months, by sex","xPos":1},</v>
      </c>
    </row>
    <row r="11" spans="1:7" x14ac:dyDescent="0.25">
      <c r="A11" s="1" t="s">
        <v>11</v>
      </c>
      <c r="B11">
        <v>9</v>
      </c>
      <c r="C11">
        <v>1</v>
      </c>
      <c r="D11" t="s">
        <v>275</v>
      </c>
      <c r="E11" s="3" t="s">
        <v>277</v>
      </c>
      <c r="F11" t="s">
        <v>276</v>
      </c>
      <c r="G11" t="str">
        <f>CONCATENATE(D11,A11,E11,C11,F11)</f>
        <v>{"name":"4.2.1: Proportion of children under 5 years of age who are developmentally on track in health, learning and psychosocial well-being, by sex","xPos":1},</v>
      </c>
    </row>
    <row r="12" spans="1:7" x14ac:dyDescent="0.25">
      <c r="A12" s="1" t="s">
        <v>12</v>
      </c>
      <c r="B12">
        <v>10</v>
      </c>
      <c r="C12">
        <v>1</v>
      </c>
      <c r="D12" t="s">
        <v>275</v>
      </c>
      <c r="E12" s="3" t="s">
        <v>277</v>
      </c>
      <c r="F12" t="s">
        <v>276</v>
      </c>
      <c r="G12" t="str">
        <f>CONCATENATE(D12,A12,E12,C12,F12)</f>
        <v>{"name":"17.6.2: Fixed Internet broadband subscriptions per 100 inhabitants, by speed","xPos":1},</v>
      </c>
    </row>
    <row r="13" spans="1:7" x14ac:dyDescent="0.25">
      <c r="A13" s="2" t="s">
        <v>13</v>
      </c>
      <c r="B13">
        <v>11</v>
      </c>
      <c r="C13">
        <v>1</v>
      </c>
      <c r="D13" t="s">
        <v>275</v>
      </c>
      <c r="E13" s="3" t="s">
        <v>277</v>
      </c>
      <c r="F13" t="s">
        <v>276</v>
      </c>
      <c r="G13" t="str">
        <f>CONCATENATE(D13,A13,E13,C13,F13)</f>
        <v>{"name":"17.8.1: Proportion of individuals using the Internet","xPos":1},</v>
      </c>
    </row>
    <row r="14" spans="1:7" x14ac:dyDescent="0.25">
      <c r="A14" s="2" t="s">
        <v>14</v>
      </c>
      <c r="B14">
        <v>12</v>
      </c>
      <c r="C14">
        <v>1</v>
      </c>
      <c r="D14" t="s">
        <v>275</v>
      </c>
      <c r="E14" s="3" t="s">
        <v>277</v>
      </c>
      <c r="F14" t="s">
        <v>276</v>
      </c>
      <c r="G14" t="str">
        <f>CONCATENATE(D14,A14,E14,C14,F14)</f>
        <v>{"name":"4.a.1: Proportion of schools with access to: (a) electricity; (b) the Internet for pedagogical purposes; (c) computers for pedagogical purposes; (d) adapted infrastructure and materials for students with disabilities; (e) basic drinking water; (f) single-sex basic sanitation facilities; and (g) basic handwashing facilities (as per the WASH indicator definitions)","xPos":1},</v>
      </c>
    </row>
    <row r="15" spans="1:7" x14ac:dyDescent="0.25">
      <c r="A15" s="2" t="s">
        <v>15</v>
      </c>
      <c r="B15">
        <v>13</v>
      </c>
      <c r="C15">
        <v>1</v>
      </c>
      <c r="D15" t="s">
        <v>275</v>
      </c>
      <c r="E15" s="3" t="s">
        <v>277</v>
      </c>
      <c r="F15" t="s">
        <v>276</v>
      </c>
      <c r="G15" t="str">
        <f>CONCATENATE(D15,A15,E15,C15,F15)</f>
        <v>{"name":"3.b.3: Proportion of health facilities that have a core set of relevant essential medicines available and affordable on a sustainable basis","xPos":1},</v>
      </c>
    </row>
    <row r="16" spans="1:7" x14ac:dyDescent="0.25">
      <c r="A16" s="2" t="s">
        <v>16</v>
      </c>
      <c r="B16">
        <v>14</v>
      </c>
      <c r="C16">
        <v>1</v>
      </c>
      <c r="D16" t="s">
        <v>275</v>
      </c>
      <c r="E16" s="3" t="s">
        <v>277</v>
      </c>
      <c r="F16" t="s">
        <v>276</v>
      </c>
      <c r="G16" t="str">
        <f>CONCATENATE(D16,A16,E16,C16,F16)</f>
        <v>{"name":"3.c.1: Health worker density and distribution","xPos":1},</v>
      </c>
    </row>
    <row r="17" spans="1:7" x14ac:dyDescent="0.25">
      <c r="A17" s="2" t="s">
        <v>17</v>
      </c>
      <c r="B17">
        <v>15</v>
      </c>
      <c r="C17">
        <v>1</v>
      </c>
      <c r="D17" t="s">
        <v>275</v>
      </c>
      <c r="E17" s="3" t="s">
        <v>277</v>
      </c>
      <c r="F17" t="s">
        <v>276</v>
      </c>
      <c r="G17" t="str">
        <f>CONCATENATE(D17,A17,E17,C17,F17)</f>
        <v>{"name":"3.8.1: Coverage of essential health services (defined as the average coverage of essential services based on tracer interventions that include reproductive, maternal, newborn and child health, infectious diseases, non-communicable diseases and service capacity and access, among the general and the most disadvantaged population)","xPos":1},</v>
      </c>
    </row>
    <row r="18" spans="1:7" x14ac:dyDescent="0.25">
      <c r="A18" s="2" t="s">
        <v>18</v>
      </c>
      <c r="B18">
        <v>16</v>
      </c>
      <c r="C18">
        <v>1</v>
      </c>
      <c r="D18" t="s">
        <v>275</v>
      </c>
      <c r="E18" s="3" t="s">
        <v>277</v>
      </c>
      <c r="F18" t="s">
        <v>276</v>
      </c>
      <c r="G18" t="str">
        <f>CONCATENATE(D18,A18,E18,C18,F18)</f>
        <v>{"name":"6.1.1: Proportion of population using safely managed drinking water services","xPos":1},</v>
      </c>
    </row>
    <row r="19" spans="1:7" x14ac:dyDescent="0.25">
      <c r="A19" s="2" t="s">
        <v>19</v>
      </c>
      <c r="B19">
        <v>17</v>
      </c>
      <c r="C19">
        <v>1</v>
      </c>
      <c r="D19" t="s">
        <v>275</v>
      </c>
      <c r="E19" s="3" t="s">
        <v>277</v>
      </c>
      <c r="F19" t="s">
        <v>276</v>
      </c>
      <c r="G19" t="str">
        <f>CONCATENATE(D19,A19,E19,C19,F19)</f>
        <v>{"name":"6.5.1: Degree of integrated water resources management implementation (0-100)","xPos":1},</v>
      </c>
    </row>
    <row r="20" spans="1:7" x14ac:dyDescent="0.25">
      <c r="A20" s="2" t="s">
        <v>20</v>
      </c>
      <c r="B20">
        <v>18</v>
      </c>
      <c r="C20">
        <v>1</v>
      </c>
      <c r="D20" t="s">
        <v>275</v>
      </c>
      <c r="E20" s="3" t="s">
        <v>277</v>
      </c>
      <c r="F20" t="s">
        <v>276</v>
      </c>
      <c r="G20" t="str">
        <f>CONCATENATE(D20,A20,E20,C20,F20)</f>
        <v>{"name":"6.2.1: Proportion of population using safely managed sanitation services, including a hand-washing facility with soap and water","xPos":1},</v>
      </c>
    </row>
    <row r="21" spans="1:7" x14ac:dyDescent="0.25">
      <c r="A21" s="2" t="s">
        <v>21</v>
      </c>
      <c r="B21">
        <v>19</v>
      </c>
      <c r="C21">
        <v>1</v>
      </c>
      <c r="D21" t="s">
        <v>275</v>
      </c>
      <c r="E21" s="3" t="s">
        <v>277</v>
      </c>
      <c r="F21" t="s">
        <v>276</v>
      </c>
      <c r="G21" t="str">
        <f>CONCATENATE(D21,A21,E21,C21,F21)</f>
        <v>{"name":"6.3.1: Proportion of wastewater safely treated","xPos":1},</v>
      </c>
    </row>
    <row r="22" spans="1:7" x14ac:dyDescent="0.25">
      <c r="A22" s="2" t="s">
        <v>22</v>
      </c>
      <c r="B22">
        <v>20</v>
      </c>
      <c r="C22">
        <v>1</v>
      </c>
      <c r="D22" t="s">
        <v>275</v>
      </c>
      <c r="E22" s="3" t="s">
        <v>277</v>
      </c>
      <c r="F22" t="s">
        <v>276</v>
      </c>
      <c r="G22" t="str">
        <f>CONCATENATE(D22,A22,E22,C22,F22)</f>
        <v>{"name":"5.a.1: (a) Proportion of total agricultural population with ownership or secure rights over agricultural land, by sex; and (b) share of women among owners or rights-bearers of agricultural land, by type of tenure","xPos":1},</v>
      </c>
    </row>
    <row r="23" spans="1:7" x14ac:dyDescent="0.25">
      <c r="A23" s="2" t="s">
        <v>23</v>
      </c>
      <c r="B23">
        <v>21</v>
      </c>
      <c r="C23">
        <v>1</v>
      </c>
      <c r="D23" t="s">
        <v>275</v>
      </c>
      <c r="E23" s="3" t="s">
        <v>277</v>
      </c>
      <c r="F23" t="s">
        <v>276</v>
      </c>
      <c r="G23" t="str">
        <f>CONCATENATE(D23,A23,E23,C23,F23)</f>
        <v>{"name":"4.5.1: Parity indices (female/male, rural/urban, bottom/top wealth quintile and others such as disability status, indigenous peoples and conflict-affected, as data become available) for all education indicators on this list that can be disaggregated","xPos":1},</v>
      </c>
    </row>
    <row r="24" spans="1:7" x14ac:dyDescent="0.25">
      <c r="A24" s="2" t="s">
        <v>24</v>
      </c>
      <c r="B24">
        <v>22</v>
      </c>
      <c r="C24">
        <v>1</v>
      </c>
      <c r="D24" t="s">
        <v>275</v>
      </c>
      <c r="E24" s="3" t="s">
        <v>277</v>
      </c>
      <c r="F24" t="s">
        <v>276</v>
      </c>
      <c r="G24" t="str">
        <f>CONCATENATE(D24,A24,E24,C24,F24)</f>
        <v>{"name":"17.3.2: Volume of remittances (in United States dollars) as a proportion of total GDP","xPos":1},</v>
      </c>
    </row>
    <row r="25" spans="1:7" x14ac:dyDescent="0.25">
      <c r="A25" s="2" t="s">
        <v>25</v>
      </c>
      <c r="B25">
        <v>23</v>
      </c>
      <c r="C25">
        <v>1</v>
      </c>
      <c r="D25" t="s">
        <v>275</v>
      </c>
      <c r="E25" s="3" t="s">
        <v>277</v>
      </c>
      <c r="F25" t="s">
        <v>276</v>
      </c>
      <c r="G25" t="str">
        <f>CONCATENATE(D25,A25,E25,C25,F25)</f>
        <v>{"name":"8.10.2: Proportion of adults (15 years and older) with an account at a bank or other financial institution or with a mobile-money-service provider","xPos":1},</v>
      </c>
    </row>
    <row r="26" spans="1:7" x14ac:dyDescent="0.25">
      <c r="A26" s="2" t="s">
        <v>26</v>
      </c>
      <c r="B26">
        <v>24</v>
      </c>
      <c r="C26">
        <v>1</v>
      </c>
      <c r="D26" t="s">
        <v>275</v>
      </c>
      <c r="E26" s="3" t="s">
        <v>277</v>
      </c>
      <c r="F26" t="s">
        <v>276</v>
      </c>
      <c r="G26" t="str">
        <f>CONCATENATE(D26,A26,E26,C26,F26)</f>
        <v>{"name":"2.3.1: Volume of production per labour unit by classes of farming/pastoral/forestry enterprise size","xPos":1},</v>
      </c>
    </row>
    <row r="27" spans="1:7" x14ac:dyDescent="0.25">
      <c r="A27" s="2" t="s">
        <v>27</v>
      </c>
      <c r="B27">
        <v>25</v>
      </c>
      <c r="C27">
        <v>1</v>
      </c>
      <c r="D27" t="s">
        <v>275</v>
      </c>
      <c r="E27" s="3" t="s">
        <v>277</v>
      </c>
      <c r="F27" t="s">
        <v>276</v>
      </c>
      <c r="G27" t="str">
        <f>CONCATENATE(D27,A27,E27,C27,F27)</f>
        <v>{"name":"8.5.1: Average hourly earnings of female and male employees, by occupation, age and persons with disabilities","xPos":1},</v>
      </c>
    </row>
    <row r="28" spans="1:7" x14ac:dyDescent="0.25">
      <c r="A28" s="2" t="s">
        <v>28</v>
      </c>
      <c r="B28">
        <v>26</v>
      </c>
      <c r="C28">
        <v>1</v>
      </c>
      <c r="D28" t="s">
        <v>275</v>
      </c>
      <c r="E28" s="3" t="s">
        <v>277</v>
      </c>
      <c r="F28" t="s">
        <v>276</v>
      </c>
      <c r="G28" t="str">
        <f>CONCATENATE(D28,A28,E28,C28,F28)</f>
        <v>{"name":"2.4.1: Proportion of agricultural area under productive and sustainable agriculture","xPos":1},</v>
      </c>
    </row>
    <row r="29" spans="1:7" x14ac:dyDescent="0.25">
      <c r="A29" s="2" t="s">
        <v>29</v>
      </c>
      <c r="B29">
        <v>27</v>
      </c>
      <c r="C29">
        <v>1</v>
      </c>
      <c r="D29" t="s">
        <v>275</v>
      </c>
      <c r="E29" s="3" t="s">
        <v>277</v>
      </c>
      <c r="F29" t="s">
        <v>276</v>
      </c>
      <c r="G29" t="str">
        <f>CONCATENATE(D29,A29,E29,C29,F29)</f>
        <v>{"name":"2.3.2: Average income of small-scale food producers, by sex and indigenous status","xPos":1},</v>
      </c>
    </row>
    <row r="30" spans="1:7" x14ac:dyDescent="0.25">
      <c r="A30" s="2" t="s">
        <v>30</v>
      </c>
      <c r="B30">
        <v>28</v>
      </c>
      <c r="C30">
        <v>1</v>
      </c>
      <c r="D30" t="s">
        <v>275</v>
      </c>
      <c r="E30" s="3" t="s">
        <v>277</v>
      </c>
      <c r="F30" t="s">
        <v>276</v>
      </c>
      <c r="G30" t="str">
        <f>CONCATENATE(D30,A30,E30,C30,F30)</f>
        <v>{"name":"2.5.1: Number of plant and animal genetic resources for food and agriculture secured in either medium or long-term conservation facilities","xPos":1},</v>
      </c>
    </row>
    <row r="31" spans="1:7" x14ac:dyDescent="0.25">
      <c r="A31" s="2" t="s">
        <v>31</v>
      </c>
      <c r="B31">
        <v>29</v>
      </c>
      <c r="C31">
        <v>1</v>
      </c>
      <c r="D31" t="s">
        <v>275</v>
      </c>
      <c r="E31" s="3" t="s">
        <v>277</v>
      </c>
      <c r="F31" t="s">
        <v>276</v>
      </c>
      <c r="G31" t="str">
        <f>CONCATENATE(D31,A31,E31,C31,F31)</f>
        <v>{"name":"2.5.2: Proportion of local breeds classified as being at risk, not-at-risk or at unknown level of risk of extinction","xPos":1},</v>
      </c>
    </row>
    <row r="32" spans="1:7" x14ac:dyDescent="0.25">
      <c r="A32" s="2" t="s">
        <v>32</v>
      </c>
      <c r="B32">
        <v>30</v>
      </c>
      <c r="C32">
        <v>1</v>
      </c>
      <c r="D32" t="s">
        <v>275</v>
      </c>
      <c r="E32" s="3" t="s">
        <v>277</v>
      </c>
      <c r="F32" t="s">
        <v>276</v>
      </c>
      <c r="G32" t="str">
        <f>CONCATENATE(D32,A32,E32,C32,F32)</f>
        <v>{"name":"4.c.1: Proportion of teachers in: (a) pre-primary; (b) primary; (c) lower secondary; and (d) upper secondary education who have received at least the minimum organized teacher training (e.g. pedagogical training) pre-service or in-service required for teaching at the relevant level in a given country","xPos":1},</v>
      </c>
    </row>
    <row r="33" spans="1:7" x14ac:dyDescent="0.25">
      <c r="A33" s="2" t="s">
        <v>33</v>
      </c>
      <c r="B33">
        <v>31</v>
      </c>
      <c r="C33">
        <v>1</v>
      </c>
      <c r="D33" t="s">
        <v>275</v>
      </c>
      <c r="E33" s="3" t="s">
        <v>277</v>
      </c>
      <c r="F33" t="s">
        <v>276</v>
      </c>
      <c r="G33" t="str">
        <f>CONCATENATE(D33,A33,E33,C33,F33)</f>
        <v>{"name":"3.9.1: Mortality rate attributed to household and ambient air pollution","xPos":1},</v>
      </c>
    </row>
    <row r="34" spans="1:7" x14ac:dyDescent="0.25">
      <c r="A34" s="2" t="s">
        <v>34</v>
      </c>
      <c r="B34">
        <v>32</v>
      </c>
      <c r="C34">
        <v>1</v>
      </c>
      <c r="D34" t="s">
        <v>275</v>
      </c>
      <c r="E34" s="3" t="s">
        <v>277</v>
      </c>
      <c r="F34" t="s">
        <v>276</v>
      </c>
      <c r="G34" t="str">
        <f>CONCATENATE(D34,A34,E34,C34,F34)</f>
        <v>{"name":"6.4.1: Change in water-use efficiency over time","xPos":1},</v>
      </c>
    </row>
    <row r="35" spans="1:7" x14ac:dyDescent="0.25">
      <c r="A35" s="2" t="s">
        <v>35</v>
      </c>
      <c r="B35">
        <v>33</v>
      </c>
      <c r="C35">
        <v>1</v>
      </c>
      <c r="D35" t="s">
        <v>275</v>
      </c>
      <c r="E35" s="3" t="s">
        <v>277</v>
      </c>
      <c r="F35" t="s">
        <v>276</v>
      </c>
      <c r="G35" t="str">
        <f>CONCATENATE(D35,A35,E35,C35,F35)</f>
        <v>{"name":"3.1.2: Proportion of births attended by skilled health personnel","xPos":1},</v>
      </c>
    </row>
    <row r="36" spans="1:7" x14ac:dyDescent="0.25">
      <c r="A36" s="2" t="s">
        <v>36</v>
      </c>
      <c r="B36">
        <v>34</v>
      </c>
      <c r="C36">
        <v>1</v>
      </c>
      <c r="D36" t="s">
        <v>275</v>
      </c>
      <c r="E36" s="3" t="s">
        <v>277</v>
      </c>
      <c r="F36" t="s">
        <v>276</v>
      </c>
      <c r="G36" t="str">
        <f>CONCATENATE(D36,A36,E36,C36,F36)</f>
        <v>{"name":"3.2.1: Under-five mortality rate","xPos":1},</v>
      </c>
    </row>
    <row r="37" spans="1:7" x14ac:dyDescent="0.25">
      <c r="A37" s="2" t="s">
        <v>37</v>
      </c>
      <c r="B37">
        <v>35</v>
      </c>
      <c r="C37">
        <v>1</v>
      </c>
      <c r="D37" t="s">
        <v>275</v>
      </c>
      <c r="E37" s="3" t="s">
        <v>277</v>
      </c>
      <c r="F37" t="s">
        <v>276</v>
      </c>
      <c r="G37" t="str">
        <f>CONCATENATE(D37,A37,E37,C37,F37)</f>
        <v>{"name":"3.a.1: Age-standardized prevalence of current tobacco use among persons aged 15 years and older","xPos":1},</v>
      </c>
    </row>
    <row r="38" spans="1:7" x14ac:dyDescent="0.25">
      <c r="A38" s="2" t="s">
        <v>38</v>
      </c>
      <c r="B38">
        <v>36</v>
      </c>
      <c r="C38">
        <v>1</v>
      </c>
      <c r="D38" t="s">
        <v>275</v>
      </c>
      <c r="E38" s="3" t="s">
        <v>277</v>
      </c>
      <c r="F38" t="s">
        <v>276</v>
      </c>
      <c r="G38" t="str">
        <f>CONCATENATE(D38,A38,E38,C38,F38)</f>
        <v>{"name":"9.2.2: Manufacturing employment as a proportion of total employment","xPos":1},</v>
      </c>
    </row>
    <row r="39" spans="1:7" x14ac:dyDescent="0.25">
      <c r="A39" s="2" t="s">
        <v>39</v>
      </c>
      <c r="B39">
        <v>37</v>
      </c>
      <c r="C39">
        <v>1</v>
      </c>
      <c r="D39" t="s">
        <v>275</v>
      </c>
      <c r="E39" s="3" t="s">
        <v>277</v>
      </c>
      <c r="F39" t="s">
        <v>276</v>
      </c>
      <c r="G39" t="str">
        <f>CONCATENATE(D39,A39,E39,C39,F39)</f>
        <v>{"name":"3.5.2: Harmful use of alcohol, defined according to the national context as alcohol per capita consumption (aged 15 years and older) within a calendar year in litres of pure alcohol","xPos":1},</v>
      </c>
    </row>
    <row r="40" spans="1:7" x14ac:dyDescent="0.25">
      <c r="A40" s="2" t="s">
        <v>40</v>
      </c>
      <c r="B40">
        <v>38</v>
      </c>
      <c r="C40">
        <v>1</v>
      </c>
      <c r="D40" t="s">
        <v>275</v>
      </c>
      <c r="E40" s="3" t="s">
        <v>277</v>
      </c>
      <c r="F40" t="s">
        <v>276</v>
      </c>
      <c r="G40" t="str">
        <f>CONCATENATE(D40,A40,E40,C40,F40)</f>
        <v>{"name":"16.2.3: Proportion of young women and men aged 18?29 years who experienced sexual violence by age 18","xPos":1},</v>
      </c>
    </row>
    <row r="41" spans="1:7" x14ac:dyDescent="0.25">
      <c r="A41" s="2" t="s">
        <v>41</v>
      </c>
      <c r="B41">
        <v>39</v>
      </c>
      <c r="C41">
        <v>1</v>
      </c>
      <c r="D41" t="s">
        <v>275</v>
      </c>
      <c r="E41" s="3" t="s">
        <v>277</v>
      </c>
      <c r="F41" t="s">
        <v>276</v>
      </c>
      <c r="G41" t="str">
        <f>CONCATENATE(D41,A41,E41,C41,F41)</f>
        <v>{"name":"5.2.2: Proportion of women and girls aged 15 years and older subjected to sexual violence by persons other than an intimate partner in the previous 12 months, by age and place of occurrence","xPos":1},</v>
      </c>
    </row>
    <row r="42" spans="1:7" x14ac:dyDescent="0.25">
      <c r="A42" s="2" t="s">
        <v>42</v>
      </c>
      <c r="B42">
        <v>40</v>
      </c>
      <c r="C42">
        <v>1</v>
      </c>
      <c r="D42" t="s">
        <v>275</v>
      </c>
      <c r="E42" s="3" t="s">
        <v>277</v>
      </c>
      <c r="F42" t="s">
        <v>276</v>
      </c>
      <c r="G42" t="str">
        <f>CONCATENATE(D42,A42,E42,C42,F42)</f>
        <v>{"name":"2.1.2: Prevalence of moderate or severe food insecurity in the population, based on the Food Insecurity Experience Scale (FIES)","xPos":1},</v>
      </c>
    </row>
    <row r="43" spans="1:7" x14ac:dyDescent="0.25">
      <c r="A43" s="2" t="s">
        <v>43</v>
      </c>
      <c r="B43">
        <v>41</v>
      </c>
      <c r="C43">
        <v>1</v>
      </c>
      <c r="D43" t="s">
        <v>275</v>
      </c>
      <c r="E43" s="3" t="s">
        <v>277</v>
      </c>
      <c r="F43" t="s">
        <v>276</v>
      </c>
      <c r="G43" t="str">
        <f>CONCATENATE(D43,A43,E43,C43,F43)</f>
        <v>{"name":"2.c.1: Indicator of food price anomalies","xPos":1},</v>
      </c>
    </row>
    <row r="44" spans="1:7" x14ac:dyDescent="0.25">
      <c r="A44" s="2" t="s">
        <v>44</v>
      </c>
      <c r="B44">
        <v>42</v>
      </c>
      <c r="C44">
        <v>1</v>
      </c>
      <c r="D44" t="s">
        <v>275</v>
      </c>
      <c r="E44" s="3" t="s">
        <v>277</v>
      </c>
      <c r="F44" t="s">
        <v>276</v>
      </c>
      <c r="G44" t="str">
        <f>CONCATENATE(D44,A44,E44,C44,F44)</f>
        <v>{"name":"4.7.1: Extent to which (i) global citizenship education and (ii) education for sustainable development, including gender equality and human rights, are mainstreamed at all levels in: (a) national education policies; (b) curricula; (c) teacher education; and (d) student assessment","xPos":1},</v>
      </c>
    </row>
    <row r="45" spans="1:7" x14ac:dyDescent="0.25">
      <c r="A45" s="2" t="s">
        <v>45</v>
      </c>
      <c r="B45">
        <v>43</v>
      </c>
      <c r="C45">
        <v>1</v>
      </c>
      <c r="D45" t="s">
        <v>275</v>
      </c>
      <c r="E45" s="3" t="s">
        <v>277</v>
      </c>
      <c r="F45" t="s">
        <v>276</v>
      </c>
      <c r="G45" t="str">
        <f>CONCATENATE(D45,A45,E45,C45,F45)</f>
        <v>{"name":"8.3.1: Proportion of informal employment in non?agriculture employment, by sex","xPos":1},</v>
      </c>
    </row>
    <row r="46" spans="1:7" x14ac:dyDescent="0.25">
      <c r="A46" s="2" t="s">
        <v>46</v>
      </c>
      <c r="B46">
        <v>44</v>
      </c>
      <c r="C46">
        <v>1</v>
      </c>
      <c r="D46" t="s">
        <v>275</v>
      </c>
      <c r="E46" s="3" t="s">
        <v>277</v>
      </c>
      <c r="F46" t="s">
        <v>276</v>
      </c>
      <c r="G46" t="str">
        <f>CONCATENATE(D46,A46,E46,C46,F46)</f>
        <v>{"name":"8.1.1: Annual growth rate of real GDP per capita","xPos":1},</v>
      </c>
    </row>
    <row r="47" spans="1:7" x14ac:dyDescent="0.25">
      <c r="A47" s="2" t="s">
        <v>47</v>
      </c>
      <c r="B47">
        <v>45</v>
      </c>
      <c r="C47">
        <v>1</v>
      </c>
      <c r="D47" t="s">
        <v>275</v>
      </c>
      <c r="E47" s="3" t="s">
        <v>277</v>
      </c>
      <c r="F47" t="s">
        <v>276</v>
      </c>
      <c r="G47" t="str">
        <f>CONCATENATE(D47,A47,E47,C47,F47)</f>
        <v>{"name":"9.3.1: Proportion of small-scale industries in total industry value added","xPos":1},</v>
      </c>
    </row>
    <row r="48" spans="1:7" x14ac:dyDescent="0.25">
      <c r="A48" s="2" t="s">
        <v>48</v>
      </c>
      <c r="B48">
        <v>46</v>
      </c>
      <c r="C48">
        <v>1</v>
      </c>
      <c r="D48" t="s">
        <v>275</v>
      </c>
      <c r="E48" s="3" t="s">
        <v>277</v>
      </c>
      <c r="F48" t="s">
        <v>276</v>
      </c>
      <c r="G48" t="str">
        <f>CONCATENATE(D48,A48,E48,C48,F48)</f>
        <v>{"name":"8.9.1: Tourism direct GDP as a proportion of total GDP and in growth rate","xPos":1},</v>
      </c>
    </row>
    <row r="49" spans="1:7" x14ac:dyDescent="0.25">
      <c r="A49" s="2" t="s">
        <v>49</v>
      </c>
      <c r="B49">
        <v>47</v>
      </c>
      <c r="C49">
        <v>1</v>
      </c>
      <c r="D49" t="s">
        <v>275</v>
      </c>
      <c r="E49" s="3" t="s">
        <v>277</v>
      </c>
      <c r="F49" t="s">
        <v>276</v>
      </c>
      <c r="G49" t="str">
        <f>CONCATENATE(D49,A49,E49,C49,F49)</f>
        <v>{"name":"8.2.1: Annual growth rate of real GDP per employed person","xPos":1},</v>
      </c>
    </row>
    <row r="50" spans="1:7" x14ac:dyDescent="0.25">
      <c r="A50" s="2" t="s">
        <v>50</v>
      </c>
      <c r="B50">
        <v>48</v>
      </c>
      <c r="C50">
        <v>1</v>
      </c>
      <c r="D50" t="s">
        <v>275</v>
      </c>
      <c r="E50" s="3" t="s">
        <v>277</v>
      </c>
      <c r="F50" t="s">
        <v>276</v>
      </c>
      <c r="G50" t="str">
        <f>CONCATENATE(D50,A50,E50,C50,F50)</f>
        <v>{"name":"15.8.1: Proportion of countries adopting relevant national legislation and adequately resourcing the prevention or control of invasive alien species","xPos":1},</v>
      </c>
    </row>
    <row r="51" spans="1:7" x14ac:dyDescent="0.25">
      <c r="A51" s="2" t="s">
        <v>51</v>
      </c>
      <c r="B51">
        <v>49</v>
      </c>
      <c r="C51">
        <v>1</v>
      </c>
      <c r="D51" t="s">
        <v>275</v>
      </c>
      <c r="E51" s="3" t="s">
        <v>277</v>
      </c>
      <c r="F51" t="s">
        <v>276</v>
      </c>
      <c r="G51" t="str">
        <f>CONCATENATE(D51,A51,E51,C51,F51)</f>
        <v>{"name":"15.7.1: Proportion of traded wildlife that was poached or illicitly trafficked","xPos":1},</v>
      </c>
    </row>
    <row r="52" spans="1:7" x14ac:dyDescent="0.25">
      <c r="A52" s="2" t="s">
        <v>52</v>
      </c>
      <c r="B52">
        <v>50</v>
      </c>
      <c r="C52">
        <v>1</v>
      </c>
      <c r="D52" t="s">
        <v>275</v>
      </c>
      <c r="E52" s="3" t="s">
        <v>277</v>
      </c>
      <c r="F52" t="s">
        <v>276</v>
      </c>
      <c r="G52" t="str">
        <f>CONCATENATE(D52,A52,E52,C52,F52)</f>
        <v>{"name":"17.9.1: Dollar value of financial and technical assistance (including through North-South, South-South and triangular cooperation) committed to developing countries","xPos":1},</v>
      </c>
    </row>
    <row r="53" spans="1:7" x14ac:dyDescent="0.25">
      <c r="A53" s="2" t="s">
        <v>53</v>
      </c>
      <c r="B53">
        <v>51</v>
      </c>
      <c r="C53">
        <v>1</v>
      </c>
      <c r="D53" t="s">
        <v>275</v>
      </c>
      <c r="E53" s="3" t="s">
        <v>277</v>
      </c>
      <c r="F53" t="s">
        <v>276</v>
      </c>
      <c r="G53" t="str">
        <f>CONCATENATE(D53,A53,E53,C53,F53)</f>
        <v>{"name":"15.1.2: Proportion of important sites for terrestrial and freshwater biodiversity that are covered by protected areas, by ecosystem type","xPos":1},</v>
      </c>
    </row>
    <row r="54" spans="1:7" x14ac:dyDescent="0.25">
      <c r="A54" s="2" t="s">
        <v>54</v>
      </c>
      <c r="B54">
        <v>52</v>
      </c>
      <c r="C54">
        <v>1</v>
      </c>
      <c r="D54" t="s">
        <v>275</v>
      </c>
      <c r="E54" s="3" t="s">
        <v>277</v>
      </c>
      <c r="F54" t="s">
        <v>276</v>
      </c>
      <c r="G54" t="str">
        <f>CONCATENATE(D54,A54,E54,C54,F54)</f>
        <v>{"name":"15.b.1: Official development assistance and public expenditure on conservation and sustainable use of biodiversity and ecosystems","xPos":1},</v>
      </c>
    </row>
    <row r="55" spans="1:7" x14ac:dyDescent="0.25">
      <c r="A55" s="2" t="s">
        <v>55</v>
      </c>
      <c r="B55">
        <v>53</v>
      </c>
      <c r="C55">
        <v>1</v>
      </c>
      <c r="D55" t="s">
        <v>275</v>
      </c>
      <c r="E55" s="3" t="s">
        <v>277</v>
      </c>
      <c r="F55" t="s">
        <v>276</v>
      </c>
      <c r="G55" t="str">
        <f>CONCATENATE(D55,A55,E55,C55,F55)</f>
        <v>{"name":"15.6.1: Number of countries that have adopted legislative, administrative and policy frameworks to ensure fair and equitable sharing of benefits","xPos":1},</v>
      </c>
    </row>
    <row r="56" spans="1:7" x14ac:dyDescent="0.25">
      <c r="A56" s="2" t="s">
        <v>56</v>
      </c>
      <c r="B56">
        <v>54</v>
      </c>
      <c r="C56">
        <v>1</v>
      </c>
      <c r="D56" t="s">
        <v>275</v>
      </c>
      <c r="E56" s="3" t="s">
        <v>277</v>
      </c>
      <c r="F56" t="s">
        <v>276</v>
      </c>
      <c r="G56" t="str">
        <f>CONCATENATE(D56,A56,E56,C56,F56)</f>
        <v>{"name":"1.a.3: Sum of total grants and non-debt-creating inflows directly allocated to poverty reduction programmes as a proportion of GDP","xPos":1},</v>
      </c>
    </row>
    <row r="57" spans="1:7" x14ac:dyDescent="0.25">
      <c r="A57" s="2" t="s">
        <v>57</v>
      </c>
      <c r="B57">
        <v>55</v>
      </c>
      <c r="C57">
        <v>1</v>
      </c>
      <c r="D57" t="s">
        <v>275</v>
      </c>
      <c r="E57" s="3" t="s">
        <v>277</v>
      </c>
      <c r="F57" t="s">
        <v>276</v>
      </c>
      <c r="G57" t="str">
        <f>CONCATENATE(D57,A57,E57,C57,F57)</f>
        <v>{"name":"1.5.3: Number of countries that adopt and implement national disaster risk reduction strategies in line with the Sendai Framework for Disaster Risk Reduction 2015-2030","xPos":1},</v>
      </c>
    </row>
    <row r="58" spans="1:7" x14ac:dyDescent="0.25">
      <c r="A58" s="2" t="s">
        <v>58</v>
      </c>
      <c r="B58">
        <v>56</v>
      </c>
      <c r="C58">
        <v>1</v>
      </c>
      <c r="D58" t="s">
        <v>275</v>
      </c>
      <c r="E58" s="3" t="s">
        <v>277</v>
      </c>
      <c r="F58" t="s">
        <v>276</v>
      </c>
      <c r="G58" t="str">
        <f>CONCATENATE(D58,A58,E58,C58,F58)</f>
        <v>{"name":"1.5.1: Number of deaths, missing persons and directly affected persons attributed to disasters per 100,000 population","xPos":1},</v>
      </c>
    </row>
    <row r="59" spans="1:7" x14ac:dyDescent="0.25">
      <c r="A59" s="2" t="s">
        <v>59</v>
      </c>
      <c r="B59">
        <v>57</v>
      </c>
      <c r="C59">
        <v>1</v>
      </c>
      <c r="D59" t="s">
        <v>275</v>
      </c>
      <c r="E59" s="3" t="s">
        <v>277</v>
      </c>
      <c r="F59" t="s">
        <v>276</v>
      </c>
      <c r="G59" t="str">
        <f>CONCATENATE(D59,A59,E59,C59,F59)</f>
        <v>{"name":"1.b.1: Proportion of government recurrent and capital spending to sectors that disproportionately benefit women, the poor and vulnerable groups","xPos":1},</v>
      </c>
    </row>
    <row r="60" spans="1:7" x14ac:dyDescent="0.25">
      <c r="A60" s="2" t="s">
        <v>60</v>
      </c>
      <c r="B60">
        <v>58</v>
      </c>
      <c r="C60">
        <v>1</v>
      </c>
      <c r="D60" t="s">
        <v>275</v>
      </c>
      <c r="E60" s="3" t="s">
        <v>277</v>
      </c>
      <c r="F60" t="s">
        <v>276</v>
      </c>
      <c r="G60" t="str">
        <f>CONCATENATE(D60,A60,E60,C60,F60)</f>
        <v>{"name":"2.1.1: Prevalence of undernourishment","xPos":1},</v>
      </c>
    </row>
    <row r="61" spans="1:7" x14ac:dyDescent="0.25">
      <c r="A61" s="2" t="s">
        <v>61</v>
      </c>
      <c r="B61">
        <v>59</v>
      </c>
      <c r="C61">
        <v>1</v>
      </c>
      <c r="D61" t="s">
        <v>275</v>
      </c>
      <c r="E61" s="3" t="s">
        <v>277</v>
      </c>
      <c r="F61" t="s">
        <v>276</v>
      </c>
      <c r="G61" t="str">
        <f>CONCATENATE(D61,A61,E61,C61,F61)</f>
        <v>{"name":"2.2.1: Prevalence of stunting (height for age &lt;-2 standard deviation from the median of the World Health Organization (WHO) Child Growth Standards) among children under 5 years of age","xPos":1},</v>
      </c>
    </row>
    <row r="62" spans="1:7" x14ac:dyDescent="0.25">
      <c r="A62" s="2" t="s">
        <v>62</v>
      </c>
      <c r="B62">
        <v>60</v>
      </c>
      <c r="C62">
        <v>1</v>
      </c>
      <c r="D62" t="s">
        <v>275</v>
      </c>
      <c r="E62" s="3" t="s">
        <v>277</v>
      </c>
      <c r="F62" t="s">
        <v>276</v>
      </c>
      <c r="G62" t="str">
        <f>CONCATENATE(D62,A62,E62,C62,F62)</f>
        <v>{"name":"2.2.2: Prevalence of malnutrition (weight for height &gt;+2 or &lt;-2 standard deviation from the median of the WHO Child Growth Standards) among children under 5 years of age, by type (wasting and overweight)","xPos":1},</v>
      </c>
    </row>
    <row r="63" spans="1:7" x14ac:dyDescent="0.25">
      <c r="A63" s="2" t="s">
        <v>63</v>
      </c>
      <c r="B63">
        <v>61</v>
      </c>
      <c r="C63">
        <v>1</v>
      </c>
      <c r="D63" t="s">
        <v>275</v>
      </c>
      <c r="E63" s="3" t="s">
        <v>277</v>
      </c>
      <c r="F63" t="s">
        <v>276</v>
      </c>
      <c r="G63" t="str">
        <f>CONCATENATE(D63,A63,E63,C63,F63)</f>
        <v>{"name":"5.1.1: Whether or not legal frameworks are in place to promote, enforce and monitor equality and non?discrimination on the basis of sex","xPos":1},</v>
      </c>
    </row>
    <row r="64" spans="1:7" x14ac:dyDescent="0.25">
      <c r="A64" s="2" t="s">
        <v>64</v>
      </c>
      <c r="B64">
        <v>62</v>
      </c>
      <c r="C64">
        <v>1</v>
      </c>
      <c r="D64" t="s">
        <v>275</v>
      </c>
      <c r="E64" s="3" t="s">
        <v>277</v>
      </c>
      <c r="F64" t="s">
        <v>276</v>
      </c>
      <c r="G64" t="str">
        <f>CONCATENATE(D64,A64,E64,C64,F64)</f>
        <v>{"name":"5.2.1: Proportion of ever-partnered women and girls aged 15 years and older subjected to physical, sexual or psychological violence by a current or former intimate partner in the previous 12 months, by form of violence and by age","xPos":1},</v>
      </c>
    </row>
    <row r="65" spans="1:7" x14ac:dyDescent="0.25">
      <c r="A65" s="2" t="s">
        <v>65</v>
      </c>
      <c r="B65">
        <v>63</v>
      </c>
      <c r="C65">
        <v>1</v>
      </c>
      <c r="D65" t="s">
        <v>275</v>
      </c>
      <c r="E65" s="3" t="s">
        <v>277</v>
      </c>
      <c r="F65" t="s">
        <v>276</v>
      </c>
      <c r="G65" t="str">
        <f>CONCATENATE(D65,A65,E65,C65,F65)</f>
        <v>{"name":"5.3.1: Proportion of women aged 20-24 years who were married or in a union before age 15 and before age 18","xPos":1},</v>
      </c>
    </row>
    <row r="66" spans="1:7" x14ac:dyDescent="0.25">
      <c r="A66" s="2" t="s">
        <v>66</v>
      </c>
      <c r="B66">
        <v>64</v>
      </c>
      <c r="C66">
        <v>1</v>
      </c>
      <c r="D66" t="s">
        <v>275</v>
      </c>
      <c r="E66" s="3" t="s">
        <v>277</v>
      </c>
      <c r="F66" t="s">
        <v>276</v>
      </c>
      <c r="G66" t="str">
        <f>CONCATENATE(D66,A66,E66,C66,F66)</f>
        <v>{"name":"5.a.2: Proportion of countries where the legal framework (including customary law) guarantees women’s equal rights to land ownership and/or control","xPos":1},</v>
      </c>
    </row>
    <row r="67" spans="1:7" x14ac:dyDescent="0.25">
      <c r="A67" s="2" t="s">
        <v>67</v>
      </c>
      <c r="B67">
        <v>65</v>
      </c>
      <c r="C67">
        <v>1</v>
      </c>
      <c r="D67" t="s">
        <v>275</v>
      </c>
      <c r="E67" s="3" t="s">
        <v>277</v>
      </c>
      <c r="F67" t="s">
        <v>276</v>
      </c>
      <c r="G67" t="str">
        <f>CONCATENATE(D67,A67,E67,C67,F67)</f>
        <v>{"name":"5.5.1: Proportion of seats held by women in (a) national parliaments and (b) local governments","xPos":1},</v>
      </c>
    </row>
    <row r="68" spans="1:7" x14ac:dyDescent="0.25">
      <c r="A68" s="2" t="s">
        <v>68</v>
      </c>
      <c r="B68">
        <v>66</v>
      </c>
      <c r="C68">
        <v>1</v>
      </c>
      <c r="D68" t="s">
        <v>275</v>
      </c>
      <c r="E68" s="3" t="s">
        <v>277</v>
      </c>
      <c r="F68" t="s">
        <v>276</v>
      </c>
      <c r="G68" t="str">
        <f>CONCATENATE(D68,A68,E68,C68,F68)</f>
        <v>{"name":"5.6.2: Number of countries with laws and regulations that guarantee full and equal access to women and men aged 15 years and older to sexual and reproductive health care, information and education","xPos":1},</v>
      </c>
    </row>
    <row r="69" spans="1:7" x14ac:dyDescent="0.25">
      <c r="A69" s="2" t="s">
        <v>69</v>
      </c>
      <c r="B69">
        <v>67</v>
      </c>
      <c r="C69">
        <v>1</v>
      </c>
      <c r="D69" t="s">
        <v>275</v>
      </c>
      <c r="E69" s="3" t="s">
        <v>277</v>
      </c>
      <c r="F69" t="s">
        <v>276</v>
      </c>
      <c r="G69" t="str">
        <f>CONCATENATE(D69,A69,E69,C69,F69)</f>
        <v>{"name":"5.c.1: Proportion of countries with systems to track and make public allocations for gender equality and women’s empowerment","xPos":1},</v>
      </c>
    </row>
    <row r="70" spans="1:7" x14ac:dyDescent="0.25">
      <c r="A70" s="2" t="s">
        <v>70</v>
      </c>
      <c r="B70">
        <v>68</v>
      </c>
      <c r="C70">
        <v>1</v>
      </c>
      <c r="D70" t="s">
        <v>275</v>
      </c>
      <c r="E70" s="3" t="s">
        <v>277</v>
      </c>
      <c r="F70" t="s">
        <v>276</v>
      </c>
      <c r="G70" t="str">
        <f>CONCATENATE(D70,A70,E70,C70,F70)</f>
        <v>{"name":"5.b.1: Proportion of individuals who own a mobile telephone, by sex","xPos":1},</v>
      </c>
    </row>
    <row r="71" spans="1:7" x14ac:dyDescent="0.25">
      <c r="A71" s="2" t="s">
        <v>71</v>
      </c>
      <c r="B71">
        <v>69</v>
      </c>
      <c r="C71">
        <v>1</v>
      </c>
      <c r="D71" t="s">
        <v>275</v>
      </c>
      <c r="E71" s="3" t="s">
        <v>277</v>
      </c>
      <c r="F71" t="s">
        <v>276</v>
      </c>
      <c r="G71" t="str">
        <f>CONCATENATE(D71,A71,E71,C71,F71)</f>
        <v>{"name":"6.6.1: Change in the extent of water-related ecosystems over time","xPos":1},</v>
      </c>
    </row>
    <row r="72" spans="1:7" x14ac:dyDescent="0.25">
      <c r="A72" s="2" t="s">
        <v>72</v>
      </c>
      <c r="B72">
        <v>70</v>
      </c>
      <c r="C72">
        <v>1</v>
      </c>
      <c r="D72" t="s">
        <v>275</v>
      </c>
      <c r="E72" s="3" t="s">
        <v>277</v>
      </c>
      <c r="F72" t="s">
        <v>276</v>
      </c>
      <c r="G72" t="str">
        <f>CONCATENATE(D72,A72,E72,C72,F72)</f>
        <v>{"name":"6.5.2: Proportion of transboundary basin area with an operational arrangement for water cooperation","xPos":1},</v>
      </c>
    </row>
    <row r="73" spans="1:7" x14ac:dyDescent="0.25">
      <c r="A73" s="2" t="s">
        <v>73</v>
      </c>
      <c r="B73">
        <v>71</v>
      </c>
      <c r="C73">
        <v>1</v>
      </c>
      <c r="D73" t="s">
        <v>275</v>
      </c>
      <c r="E73" s="3" t="s">
        <v>277</v>
      </c>
      <c r="F73" t="s">
        <v>276</v>
      </c>
      <c r="G73" t="str">
        <f>CONCATENATE(D73,A73,E73,C73,F73)</f>
        <v>{"name":"6.4.2: Level of water stress: freshwater withdrawal as a proportion of available freshwater resources","xPos":1},</v>
      </c>
    </row>
    <row r="74" spans="1:7" x14ac:dyDescent="0.25">
      <c r="A74" s="2" t="s">
        <v>74</v>
      </c>
      <c r="B74">
        <v>72</v>
      </c>
      <c r="C74">
        <v>1</v>
      </c>
      <c r="D74" t="s">
        <v>275</v>
      </c>
      <c r="E74" s="3" t="s">
        <v>277</v>
      </c>
      <c r="F74" t="s">
        <v>276</v>
      </c>
      <c r="G74" t="str">
        <f>CONCATENATE(D74,A74,E74,C74,F74)</f>
        <v>{"name":"6.3.2: Proportion of bodies of water with good ambient water quality","xPos":1},</v>
      </c>
    </row>
    <row r="75" spans="1:7" x14ac:dyDescent="0.25">
      <c r="A75" s="2" t="s">
        <v>75</v>
      </c>
      <c r="B75">
        <v>73</v>
      </c>
      <c r="C75">
        <v>1</v>
      </c>
      <c r="D75" t="s">
        <v>275</v>
      </c>
      <c r="E75" s="3" t="s">
        <v>277</v>
      </c>
      <c r="F75" t="s">
        <v>276</v>
      </c>
      <c r="G75" t="str">
        <f>CONCATENATE(D75,A75,E75,C75,F75)</f>
        <v>{"name":"6.b.1: Proportion of local administrative units with established and operational policies and procedures for participation of local communities in water and sanitation management","xPos":1},</v>
      </c>
    </row>
    <row r="76" spans="1:7" x14ac:dyDescent="0.25">
      <c r="A76" s="2" t="s">
        <v>76</v>
      </c>
      <c r="B76">
        <v>74</v>
      </c>
      <c r="C76">
        <v>1</v>
      </c>
      <c r="D76" t="s">
        <v>275</v>
      </c>
      <c r="E76" s="3" t="s">
        <v>277</v>
      </c>
      <c r="F76" t="s">
        <v>276</v>
      </c>
      <c r="G76" t="str">
        <f>CONCATENATE(D76,A76,E76,C76,F76)</f>
        <v>{"name":"6.a.1: Amount of water- and sanitation-related official development assistance that is part of a government-coordinated spending plan","xPos":1},</v>
      </c>
    </row>
    <row r="77" spans="1:7" x14ac:dyDescent="0.25">
      <c r="A77" s="2" t="s">
        <v>77</v>
      </c>
      <c r="B77">
        <v>75</v>
      </c>
      <c r="C77">
        <v>1</v>
      </c>
      <c r="D77" t="s">
        <v>275</v>
      </c>
      <c r="E77" s="3" t="s">
        <v>277</v>
      </c>
      <c r="F77" t="s">
        <v>276</v>
      </c>
      <c r="G77" t="str">
        <f>CONCATENATE(D77,A77,E77,C77,F77)</f>
        <v>{"name":"9.1.2: Passenger and freight volumes, by mode of transport","xPos":1},</v>
      </c>
    </row>
    <row r="78" spans="1:7" x14ac:dyDescent="0.25">
      <c r="A78" s="2" t="s">
        <v>78</v>
      </c>
      <c r="B78">
        <v>76</v>
      </c>
      <c r="C78">
        <v>1</v>
      </c>
      <c r="D78" t="s">
        <v>275</v>
      </c>
      <c r="E78" s="3" t="s">
        <v>277</v>
      </c>
      <c r="F78" t="s">
        <v>276</v>
      </c>
      <c r="G78" t="str">
        <f>CONCATENATE(D78,A78,E78,C78,F78)</f>
        <v>{"name":"11.2.1: Proportion of population that has convenient access to public transport, by sex, age and persons with disabilities","xPos":1},</v>
      </c>
    </row>
    <row r="79" spans="1:7" x14ac:dyDescent="0.25">
      <c r="A79" s="2" t="s">
        <v>79</v>
      </c>
      <c r="B79">
        <v>77</v>
      </c>
      <c r="C79">
        <v>1</v>
      </c>
      <c r="D79" t="s">
        <v>275</v>
      </c>
      <c r="E79" s="3" t="s">
        <v>277</v>
      </c>
      <c r="F79" t="s">
        <v>276</v>
      </c>
      <c r="G79" t="str">
        <f>CONCATENATE(D79,A79,E79,C79,F79)</f>
        <v>{"name":"3.9.2: Mortality rate attributed to unsafe water, unsafe sanitation and lack of hygiene (exposure to unsafe Water, Sanitation and Hygiene for All (WASH) services)","xPos":1},</v>
      </c>
    </row>
    <row r="80" spans="1:7" x14ac:dyDescent="0.25">
      <c r="A80" s="2" t="s">
        <v>80</v>
      </c>
      <c r="B80">
        <v>78</v>
      </c>
      <c r="C80">
        <v>1</v>
      </c>
      <c r="D80" t="s">
        <v>275</v>
      </c>
      <c r="E80" s="3" t="s">
        <v>277</v>
      </c>
      <c r="F80" t="s">
        <v>276</v>
      </c>
      <c r="G80" t="str">
        <f>CONCATENATE(D80,A80,E80,C80,F80)</f>
        <v>{"name":"11.c.1: Proportion of financial support to the least developed countries that is allocated to the construction and retrofitting of sustainable, resilient and resource-efficient buildings utilizing local materials","xPos":1},</v>
      </c>
    </row>
    <row r="81" spans="1:7" x14ac:dyDescent="0.25">
      <c r="A81" s="2" t="s">
        <v>81</v>
      </c>
      <c r="B81">
        <v>79</v>
      </c>
      <c r="C81">
        <v>1</v>
      </c>
      <c r="D81" t="s">
        <v>275</v>
      </c>
      <c r="E81" s="3" t="s">
        <v>277</v>
      </c>
      <c r="F81" t="s">
        <v>276</v>
      </c>
      <c r="G81" t="str">
        <f>CONCATENATE(D81,A81,E81,C81,F81)</f>
        <v>{"name":"17.7.1: Total amount of approved funding for developing countries to promote the development, transfer, dissemination and diffusion of environmentally sound technologies","xPos":1},</v>
      </c>
    </row>
    <row r="82" spans="1:7" x14ac:dyDescent="0.25">
      <c r="A82" t="s">
        <v>82</v>
      </c>
      <c r="B82">
        <v>80</v>
      </c>
      <c r="C82">
        <v>2</v>
      </c>
      <c r="D82" t="s">
        <v>275</v>
      </c>
      <c r="E82" s="3" t="s">
        <v>277</v>
      </c>
      <c r="F82" t="s">
        <v>276</v>
      </c>
      <c r="G82" t="str">
        <f>CONCATENATE(D82,A82,E82,C82,F82)</f>
        <v>{"name":"Birth certificate ownership (NHPC)","xPos":2},</v>
      </c>
    </row>
    <row r="83" spans="1:7" x14ac:dyDescent="0.25">
      <c r="A83" t="s">
        <v>83</v>
      </c>
      <c r="B83">
        <v>81</v>
      </c>
      <c r="C83">
        <v>2</v>
      </c>
      <c r="D83" t="s">
        <v>275</v>
      </c>
      <c r="E83" s="3" t="s">
        <v>277</v>
      </c>
      <c r="F83" t="s">
        <v>276</v>
      </c>
      <c r="G83" t="str">
        <f>CONCATENATE(D83,A83,E83,C83,F83)</f>
        <v>{"name":"Ethnicity (NHPC)","xPos":2},</v>
      </c>
    </row>
    <row r="84" spans="1:7" x14ac:dyDescent="0.25">
      <c r="A84" t="s">
        <v>84</v>
      </c>
      <c r="B84">
        <v>82</v>
      </c>
      <c r="C84">
        <v>2</v>
      </c>
      <c r="D84" t="s">
        <v>275</v>
      </c>
      <c r="E84" s="3" t="s">
        <v>277</v>
      </c>
      <c r="F84" t="s">
        <v>276</v>
      </c>
      <c r="G84" t="str">
        <f>CONCATENATE(D84,A84,E84,C84,F84)</f>
        <v>{"name":"School dropout status (NHPC)","xPos":2},</v>
      </c>
    </row>
    <row r="85" spans="1:7" x14ac:dyDescent="0.25">
      <c r="A85" t="s">
        <v>85</v>
      </c>
      <c r="B85">
        <v>83</v>
      </c>
      <c r="C85">
        <v>2</v>
      </c>
      <c r="D85" t="s">
        <v>275</v>
      </c>
      <c r="E85" s="3" t="s">
        <v>277</v>
      </c>
      <c r="F85" t="s">
        <v>276</v>
      </c>
      <c r="G85" t="str">
        <f>CONCATENATE(D85,A85,E85,C85,F85)</f>
        <v>{"name":"Formal education grade completed (NHPC)","xPos":2},</v>
      </c>
    </row>
    <row r="86" spans="1:7" x14ac:dyDescent="0.25">
      <c r="A86" t="s">
        <v>86</v>
      </c>
      <c r="B86">
        <v>84</v>
      </c>
      <c r="C86">
        <v>2</v>
      </c>
      <c r="D86" t="s">
        <v>275</v>
      </c>
      <c r="E86" s="3" t="s">
        <v>277</v>
      </c>
      <c r="F86" t="s">
        <v>276</v>
      </c>
      <c r="G86" t="str">
        <f>CONCATENATE(D86,A86,E86,C86,F86)</f>
        <v>{"name":"Field of specialisation (NHPC)","xPos":2},</v>
      </c>
    </row>
    <row r="87" spans="1:7" x14ac:dyDescent="0.25">
      <c r="A87" t="s">
        <v>87</v>
      </c>
      <c r="B87">
        <v>85</v>
      </c>
      <c r="C87">
        <v>2</v>
      </c>
      <c r="D87" t="s">
        <v>275</v>
      </c>
      <c r="E87" s="3" t="s">
        <v>277</v>
      </c>
      <c r="F87" t="s">
        <v>276</v>
      </c>
      <c r="G87" t="str">
        <f>CONCATENATE(D87,A87,E87,C87,F87)</f>
        <v>{"name":"Ability to read and write (NHPC)","xPos":2},</v>
      </c>
    </row>
    <row r="88" spans="1:7" x14ac:dyDescent="0.25">
      <c r="A88" t="s">
        <v>88</v>
      </c>
      <c r="B88">
        <v>86</v>
      </c>
      <c r="C88">
        <v>2</v>
      </c>
      <c r="D88" t="s">
        <v>275</v>
      </c>
      <c r="E88" s="3" t="s">
        <v>277</v>
      </c>
      <c r="F88" t="s">
        <v>276</v>
      </c>
      <c r="G88" t="str">
        <f>CONCATENATE(D88,A88,E88,C88,F88)</f>
        <v>{"name":"Mobile phone ownership (NHPC)","xPos":2},</v>
      </c>
    </row>
    <row r="89" spans="1:7" x14ac:dyDescent="0.25">
      <c r="A89" t="s">
        <v>89</v>
      </c>
      <c r="B89">
        <v>87</v>
      </c>
      <c r="C89">
        <v>2</v>
      </c>
      <c r="D89" t="s">
        <v>275</v>
      </c>
      <c r="E89" s="3" t="s">
        <v>277</v>
      </c>
      <c r="F89" t="s">
        <v>276</v>
      </c>
      <c r="G89" t="str">
        <f>CONCATENATE(D89,A89,E89,C89,F89)</f>
        <v>{"name":"Internet use (NHPC)","xPos":2},</v>
      </c>
    </row>
    <row r="90" spans="1:7" x14ac:dyDescent="0.25">
      <c r="A90" t="s">
        <v>90</v>
      </c>
      <c r="B90">
        <v>88</v>
      </c>
      <c r="C90">
        <v>2</v>
      </c>
      <c r="D90" t="s">
        <v>275</v>
      </c>
      <c r="E90" s="3" t="s">
        <v>277</v>
      </c>
      <c r="F90" t="s">
        <v>276</v>
      </c>
      <c r="G90" t="str">
        <f>CONCATENATE(D90,A90,E90,C90,F90)</f>
        <v>{"name":"Public Health Facility (NHPC)","xPos":2},</v>
      </c>
    </row>
    <row r="91" spans="1:7" x14ac:dyDescent="0.25">
      <c r="A91" t="s">
        <v>91</v>
      </c>
      <c r="B91">
        <v>89</v>
      </c>
      <c r="C91">
        <v>2</v>
      </c>
      <c r="D91" t="s">
        <v>275</v>
      </c>
      <c r="E91" s="3" t="s">
        <v>277</v>
      </c>
      <c r="F91" t="s">
        <v>276</v>
      </c>
      <c r="G91" t="str">
        <f>CONCATENATE(D91,A91,E91,C91,F91)</f>
        <v>{"name":"Drinking water source (NHPC)","xPos":2},</v>
      </c>
    </row>
    <row r="92" spans="1:7" x14ac:dyDescent="0.25">
      <c r="A92" t="s">
        <v>92</v>
      </c>
      <c r="B92">
        <v>90</v>
      </c>
      <c r="C92">
        <v>2</v>
      </c>
      <c r="D92" t="s">
        <v>275</v>
      </c>
      <c r="E92" s="3" t="s">
        <v>277</v>
      </c>
      <c r="F92" t="s">
        <v>276</v>
      </c>
      <c r="G92" t="str">
        <f>CONCATENATE(D92,A92,E92,C92,F92)</f>
        <v>{"name":"Drinking water source distance (NHPC)","xPos":2},</v>
      </c>
    </row>
    <row r="93" spans="1:7" x14ac:dyDescent="0.25">
      <c r="A93" t="s">
        <v>93</v>
      </c>
      <c r="B93">
        <v>91</v>
      </c>
      <c r="C93">
        <v>2</v>
      </c>
      <c r="D93" t="s">
        <v>275</v>
      </c>
      <c r="E93" s="3" t="s">
        <v>277</v>
      </c>
      <c r="F93" t="s">
        <v>276</v>
      </c>
      <c r="G93" t="str">
        <f>CONCATENATE(D93,A93,E93,C93,F93)</f>
        <v>{"name":"Toilet facility type (NHPC)","xPos":2},</v>
      </c>
    </row>
    <row r="94" spans="1:7" x14ac:dyDescent="0.25">
      <c r="A94" t="s">
        <v>94</v>
      </c>
      <c r="B94">
        <v>92</v>
      </c>
      <c r="C94">
        <v>2</v>
      </c>
      <c r="D94" t="s">
        <v>275</v>
      </c>
      <c r="E94" s="3" t="s">
        <v>277</v>
      </c>
      <c r="F94" t="s">
        <v>276</v>
      </c>
      <c r="G94" t="str">
        <f>CONCATENATE(D94,A94,E94,C94,F94)</f>
        <v>{"name":"Toilet facility sharing (NHPC)","xPos":2},</v>
      </c>
    </row>
    <row r="95" spans="1:7" x14ac:dyDescent="0.25">
      <c r="A95" t="s">
        <v>95</v>
      </c>
      <c r="B95">
        <v>93</v>
      </c>
      <c r="C95">
        <v>2</v>
      </c>
      <c r="D95" t="s">
        <v>275</v>
      </c>
      <c r="E95" s="3" t="s">
        <v>277</v>
      </c>
      <c r="F95" t="s">
        <v>276</v>
      </c>
      <c r="G95" t="str">
        <f>CONCATENATE(D95,A95,E95,C95,F95)</f>
        <v>{"name":"Solid waste disposal method (NHPC)","xPos":2},</v>
      </c>
    </row>
    <row r="96" spans="1:7" x14ac:dyDescent="0.25">
      <c r="A96" t="s">
        <v>96</v>
      </c>
      <c r="B96">
        <v>94</v>
      </c>
      <c r="C96">
        <v>2</v>
      </c>
      <c r="D96" t="s">
        <v>275</v>
      </c>
      <c r="E96" s="3" t="s">
        <v>277</v>
      </c>
      <c r="F96" t="s">
        <v>276</v>
      </c>
      <c r="G96" t="str">
        <f>CONCATENATE(D96,A96,E96,C96,F96)</f>
        <v>{"name":"Assets owned (NHPC)","xPos":2},</v>
      </c>
    </row>
    <row r="97" spans="1:7" x14ac:dyDescent="0.25">
      <c r="A97" t="s">
        <v>97</v>
      </c>
      <c r="B97">
        <v>95</v>
      </c>
      <c r="C97">
        <v>2</v>
      </c>
      <c r="D97" t="s">
        <v>275</v>
      </c>
      <c r="E97" s="3" t="s">
        <v>277</v>
      </c>
      <c r="F97" t="s">
        <v>276</v>
      </c>
      <c r="G97" t="str">
        <f>CONCATENATE(D97,A97,E97,C97,F97)</f>
        <v>{"name":"Information sources (NHPC)","xPos":2},</v>
      </c>
    </row>
    <row r="98" spans="1:7" x14ac:dyDescent="0.25">
      <c r="A98" t="s">
        <v>98</v>
      </c>
      <c r="B98">
        <v>96</v>
      </c>
      <c r="C98">
        <v>2</v>
      </c>
      <c r="D98" t="s">
        <v>275</v>
      </c>
      <c r="E98" s="3" t="s">
        <v>277</v>
      </c>
      <c r="F98" t="s">
        <v>276</v>
      </c>
      <c r="G98" t="str">
        <f>CONCATENATE(D98,A98,E98,C98,F98)</f>
        <v>{"name":"Postal services usage (NHPC)","xPos":2},</v>
      </c>
    </row>
    <row r="99" spans="1:7" x14ac:dyDescent="0.25">
      <c r="A99" t="s">
        <v>99</v>
      </c>
      <c r="B99">
        <v>97</v>
      </c>
      <c r="C99">
        <v>2</v>
      </c>
      <c r="D99" t="s">
        <v>275</v>
      </c>
      <c r="E99" s="3" t="s">
        <v>277</v>
      </c>
      <c r="F99" t="s">
        <v>276</v>
      </c>
      <c r="G99" t="str">
        <f>CONCATENATE(D99,A99,E99,C99,F99)</f>
        <v>{"name":"Remittances received (NHPC)","xPos":2},</v>
      </c>
    </row>
    <row r="100" spans="1:7" x14ac:dyDescent="0.25">
      <c r="A100" t="s">
        <v>100</v>
      </c>
      <c r="B100">
        <v>98</v>
      </c>
      <c r="C100">
        <v>2</v>
      </c>
      <c r="D100" t="s">
        <v>275</v>
      </c>
      <c r="E100" s="3" t="s">
        <v>277</v>
      </c>
      <c r="F100" t="s">
        <v>276</v>
      </c>
      <c r="G100" t="str">
        <f>CONCATENATE(D100,A100,E100,C100,F100)</f>
        <v>{"name":"Remittances - country of origin (NHPC)","xPos":2},</v>
      </c>
    </row>
    <row r="101" spans="1:7" x14ac:dyDescent="0.25">
      <c r="A101" t="s">
        <v>101</v>
      </c>
      <c r="B101">
        <v>99</v>
      </c>
      <c r="C101">
        <v>2</v>
      </c>
      <c r="D101" t="s">
        <v>275</v>
      </c>
      <c r="E101" s="3" t="s">
        <v>277</v>
      </c>
      <c r="F101" t="s">
        <v>276</v>
      </c>
      <c r="G101" t="str">
        <f>CONCATENATE(D101,A101,E101,C101,F101)</f>
        <v>{"name":"Bank account functioning (NHPC)","xPos":2},</v>
      </c>
    </row>
    <row r="102" spans="1:7" x14ac:dyDescent="0.25">
      <c r="A102" t="s">
        <v>102</v>
      </c>
      <c r="B102">
        <v>100</v>
      </c>
      <c r="C102">
        <v>2</v>
      </c>
      <c r="D102" t="s">
        <v>275</v>
      </c>
      <c r="E102" s="3" t="s">
        <v>277</v>
      </c>
      <c r="F102" t="s">
        <v>276</v>
      </c>
      <c r="G102" t="str">
        <f>CONCATENATE(D102,A102,E102,C102,F102)</f>
        <v>{"name":"Household based enterprise (NHPC)","xPos":2},</v>
      </c>
    </row>
    <row r="103" spans="1:7" x14ac:dyDescent="0.25">
      <c r="A103" t="s">
        <v>103</v>
      </c>
      <c r="B103">
        <v>101</v>
      </c>
      <c r="C103">
        <v>2</v>
      </c>
      <c r="D103" t="s">
        <v>275</v>
      </c>
      <c r="E103" s="3" t="s">
        <v>277</v>
      </c>
      <c r="F103" t="s">
        <v>276</v>
      </c>
      <c r="G103" t="str">
        <f>CONCATENATE(D103,A103,E103,C103,F103)</f>
        <v>{"name":"Enterprise type (NHPC)","xPos":2},</v>
      </c>
    </row>
    <row r="104" spans="1:7" x14ac:dyDescent="0.25">
      <c r="A104" t="s">
        <v>104</v>
      </c>
      <c r="B104">
        <v>102</v>
      </c>
      <c r="C104">
        <v>2</v>
      </c>
      <c r="D104" t="s">
        <v>275</v>
      </c>
      <c r="E104" s="3" t="s">
        <v>277</v>
      </c>
      <c r="F104" t="s">
        <v>276</v>
      </c>
      <c r="G104" t="str">
        <f>CONCATENATE(D104,A104,E104,C104,F104)</f>
        <v>{"name":"Agricultural activities (NHPC)","xPos":2},</v>
      </c>
    </row>
    <row r="105" spans="1:7" x14ac:dyDescent="0.25">
      <c r="A105" t="s">
        <v>105</v>
      </c>
      <c r="B105">
        <v>103</v>
      </c>
      <c r="C105">
        <v>2</v>
      </c>
      <c r="D105" t="s">
        <v>275</v>
      </c>
      <c r="E105" s="3" t="s">
        <v>277</v>
      </c>
      <c r="F105" t="s">
        <v>276</v>
      </c>
      <c r="G105" t="str">
        <f>CONCATENATE(D105,A105,E105,C105,F105)</f>
        <v>{"name":"Production use (NHPC)","xPos":2},</v>
      </c>
    </row>
    <row r="106" spans="1:7" x14ac:dyDescent="0.25">
      <c r="A106" t="s">
        <v>106</v>
      </c>
      <c r="B106">
        <v>104</v>
      </c>
      <c r="C106">
        <v>2</v>
      </c>
      <c r="D106" t="s">
        <v>275</v>
      </c>
      <c r="E106" s="3" t="s">
        <v>277</v>
      </c>
      <c r="F106" t="s">
        <v>276</v>
      </c>
      <c r="G106" t="str">
        <f>CONCATENATE(D106,A106,E106,C106,F106)</f>
        <v>{"name":"Crops grown (NHPC)","xPos":2},</v>
      </c>
    </row>
    <row r="107" spans="1:7" x14ac:dyDescent="0.25">
      <c r="A107" t="s">
        <v>107</v>
      </c>
      <c r="B107">
        <v>105</v>
      </c>
      <c r="C107">
        <v>2</v>
      </c>
      <c r="D107" t="s">
        <v>275</v>
      </c>
      <c r="E107" s="3" t="s">
        <v>277</v>
      </c>
      <c r="F107" t="s">
        <v>276</v>
      </c>
      <c r="G107" t="str">
        <f>CONCATENATE(D107,A107,E107,C107,F107)</f>
        <v>{"name":"Farm ownership (NHPC)","xPos":2},</v>
      </c>
    </row>
    <row r="108" spans="1:7" x14ac:dyDescent="0.25">
      <c r="A108" t="s">
        <v>108</v>
      </c>
      <c r="B108">
        <v>106</v>
      </c>
      <c r="C108">
        <v>2</v>
      </c>
      <c r="D108" t="s">
        <v>275</v>
      </c>
      <c r="E108" s="3" t="s">
        <v>277</v>
      </c>
      <c r="F108" t="s">
        <v>276</v>
      </c>
      <c r="G108" t="str">
        <f>CONCATENATE(D108,A108,E108,C108,F108)</f>
        <v>{"name":"Irrigation use (NHPC)","xPos":2},</v>
      </c>
    </row>
    <row r="109" spans="1:7" x14ac:dyDescent="0.25">
      <c r="A109" t="s">
        <v>109</v>
      </c>
      <c r="B109">
        <v>107</v>
      </c>
      <c r="C109">
        <v>2</v>
      </c>
      <c r="D109" t="s">
        <v>275</v>
      </c>
      <c r="E109" s="3" t="s">
        <v>277</v>
      </c>
      <c r="F109" t="s">
        <v>276</v>
      </c>
      <c r="G109" t="str">
        <f>CONCATENATE(D109,A109,E109,C109,F109)</f>
        <v>{"name":"Land ownership (NHPC)","xPos":2},</v>
      </c>
    </row>
    <row r="110" spans="1:7" x14ac:dyDescent="0.25">
      <c r="A110" t="s">
        <v>110</v>
      </c>
      <c r="B110">
        <v>108</v>
      </c>
      <c r="C110">
        <v>2</v>
      </c>
      <c r="D110" t="s">
        <v>275</v>
      </c>
      <c r="E110" s="3" t="s">
        <v>277</v>
      </c>
      <c r="F110" t="s">
        <v>276</v>
      </c>
      <c r="G110" t="str">
        <f>CONCATENATE(D110,A110,E110,C110,F110)</f>
        <v>{"name":"MANUFACTURER (NDA)","xPos":2},</v>
      </c>
    </row>
    <row r="111" spans="1:7" x14ac:dyDescent="0.25">
      <c r="A111" t="s">
        <v>111</v>
      </c>
      <c r="B111">
        <v>109</v>
      </c>
      <c r="C111">
        <v>2</v>
      </c>
      <c r="D111" t="s">
        <v>275</v>
      </c>
      <c r="E111" s="3" t="s">
        <v>277</v>
      </c>
      <c r="F111" t="s">
        <v>276</v>
      </c>
      <c r="G111" t="str">
        <f>CONCATENATE(D111,A111,E111,C111,F111)</f>
        <v>{"name":"DRUG NAME (NDA)","xPos":2},</v>
      </c>
    </row>
    <row r="112" spans="1:7" x14ac:dyDescent="0.25">
      <c r="A112" t="s">
        <v>112</v>
      </c>
      <c r="B112">
        <v>110</v>
      </c>
      <c r="C112">
        <v>2</v>
      </c>
      <c r="D112" t="s">
        <v>275</v>
      </c>
      <c r="E112" s="3" t="s">
        <v>277</v>
      </c>
      <c r="F112" t="s">
        <v>276</v>
      </c>
      <c r="G112" t="str">
        <f>CONCATENATE(D112,A112,E112,C112,F112)</f>
        <v>{"name":"REGISTRATION NUMBER(NDA)","xPos":2},</v>
      </c>
    </row>
    <row r="113" spans="1:7" x14ac:dyDescent="0.25">
      <c r="A113" t="s">
        <v>113</v>
      </c>
      <c r="B113">
        <v>111</v>
      </c>
      <c r="C113">
        <v>2</v>
      </c>
      <c r="D113" t="s">
        <v>275</v>
      </c>
      <c r="E113" s="3" t="s">
        <v>277</v>
      </c>
      <c r="F113" t="s">
        <v>276</v>
      </c>
      <c r="G113" t="str">
        <f>CONCATENATE(D113,A113,E113,C113,F113)</f>
        <v>{"name":"GENERIC NAME(NDA)","xPos":2},</v>
      </c>
    </row>
    <row r="114" spans="1:7" x14ac:dyDescent="0.25">
      <c r="A114" t="s">
        <v>114</v>
      </c>
      <c r="B114">
        <v>112</v>
      </c>
      <c r="C114">
        <v>2</v>
      </c>
      <c r="D114" t="s">
        <v>275</v>
      </c>
      <c r="E114" s="3" t="s">
        <v>277</v>
      </c>
      <c r="F114" t="s">
        <v>276</v>
      </c>
      <c r="G114" t="str">
        <f>CONCATENATE(D114,A114,E114,C114,F114)</f>
        <v>{"name":"DRUG STRENGTH (NDA)","xPos":2},</v>
      </c>
    </row>
    <row r="115" spans="1:7" x14ac:dyDescent="0.25">
      <c r="A115" t="s">
        <v>115</v>
      </c>
      <c r="B115">
        <v>113</v>
      </c>
      <c r="C115">
        <v>2</v>
      </c>
      <c r="D115" t="s">
        <v>275</v>
      </c>
      <c r="E115" s="3" t="s">
        <v>277</v>
      </c>
      <c r="F115" t="s">
        <v>276</v>
      </c>
      <c r="G115" t="str">
        <f>CONCATENATE(D115,A115,E115,C115,F115)</f>
        <v>{"name":"DOSAGE  FORM (NDA)","xPos":2},</v>
      </c>
    </row>
    <row r="116" spans="1:7" x14ac:dyDescent="0.25">
      <c r="A116" t="s">
        <v>116</v>
      </c>
      <c r="B116">
        <v>114</v>
      </c>
      <c r="C116">
        <v>2</v>
      </c>
      <c r="D116" t="s">
        <v>275</v>
      </c>
      <c r="E116" s="3" t="s">
        <v>277</v>
      </c>
      <c r="F116" t="s">
        <v>276</v>
      </c>
      <c r="G116" t="str">
        <f>CONCATENATE(D116,A116,E116,C116,F116)</f>
        <v>{"name":"Name of APPLICANT (NDA)","xPos":2},</v>
      </c>
    </row>
    <row r="117" spans="1:7" x14ac:dyDescent="0.25">
      <c r="A117" t="s">
        <v>117</v>
      </c>
      <c r="B117">
        <v>115</v>
      </c>
      <c r="C117">
        <v>2</v>
      </c>
      <c r="D117" t="s">
        <v>275</v>
      </c>
      <c r="E117" s="3" t="s">
        <v>277</v>
      </c>
      <c r="F117" t="s">
        <v>276</v>
      </c>
      <c r="G117" t="str">
        <f>CONCATENATE(D117,A117,E117,C117,F117)</f>
        <v>{"name":"Drug PACK SIZES (NDA)","xPos":2},</v>
      </c>
    </row>
    <row r="118" spans="1:7" x14ac:dyDescent="0.25">
      <c r="A118" t="s">
        <v>118</v>
      </c>
      <c r="B118">
        <v>116</v>
      </c>
      <c r="C118">
        <v>2</v>
      </c>
      <c r="D118" t="s">
        <v>275</v>
      </c>
      <c r="E118" s="3" t="s">
        <v>277</v>
      </c>
      <c r="F118" t="s">
        <v>276</v>
      </c>
      <c r="G118" t="str">
        <f>CONCATENATE(D118,A118,E118,C118,F118)</f>
        <v>{"name":"DRUG LICENCE HOLDER (NDA)","xPos":2},</v>
      </c>
    </row>
    <row r="119" spans="1:7" x14ac:dyDescent="0.25">
      <c r="A119" t="s">
        <v>119</v>
      </c>
      <c r="B119">
        <v>117</v>
      </c>
      <c r="C119">
        <v>2</v>
      </c>
      <c r="D119" t="s">
        <v>275</v>
      </c>
      <c r="E119" s="3" t="s">
        <v>277</v>
      </c>
      <c r="F119" t="s">
        <v>276</v>
      </c>
      <c r="G119" t="str">
        <f>CONCATENATE(D119,A119,E119,C119,F119)</f>
        <v>{"name":"COUNTRY OF MAKE (NDA)","xPos":2},</v>
      </c>
    </row>
    <row r="120" spans="1:7" x14ac:dyDescent="0.25">
      <c r="A120" t="s">
        <v>120</v>
      </c>
      <c r="B120">
        <v>118</v>
      </c>
      <c r="C120">
        <v>2</v>
      </c>
      <c r="D120" t="s">
        <v>275</v>
      </c>
      <c r="E120" s="3" t="s">
        <v>277</v>
      </c>
      <c r="F120" t="s">
        <v>276</v>
      </c>
      <c r="G120" t="str">
        <f>CONCATENATE(D120,A120,E120,C120,F120)</f>
        <v>{"name":"Commonly used type of health facility (CSD)","xPos":2},</v>
      </c>
    </row>
    <row r="121" spans="1:7" x14ac:dyDescent="0.25">
      <c r="A121" t="s">
        <v>121</v>
      </c>
      <c r="B121">
        <v>119</v>
      </c>
      <c r="C121">
        <v>2</v>
      </c>
      <c r="D121" t="s">
        <v>275</v>
      </c>
      <c r="E121" s="3" t="s">
        <v>277</v>
      </c>
      <c r="F121" t="s">
        <v>276</v>
      </c>
      <c r="G121" t="str">
        <f>CONCATENATE(D121,A121,E121,C121,F121)</f>
        <v>{"name":"Handling of patients by health facilities (CSD)","xPos":2},</v>
      </c>
    </row>
    <row r="122" spans="1:7" x14ac:dyDescent="0.25">
      <c r="A122" t="s">
        <v>122</v>
      </c>
      <c r="B122">
        <v>120</v>
      </c>
      <c r="C122">
        <v>2</v>
      </c>
      <c r="D122" t="s">
        <v>275</v>
      </c>
      <c r="E122" s="3" t="s">
        <v>277</v>
      </c>
      <c r="F122" t="s">
        <v>276</v>
      </c>
      <c r="G122" t="str">
        <f>CONCATENATE(D122,A122,E122,C122,F122)</f>
        <v>{"name":"Health facility ease of access - reception (CSD)","xPos":2},</v>
      </c>
    </row>
    <row r="123" spans="1:7" x14ac:dyDescent="0.25">
      <c r="A123" t="s">
        <v>123</v>
      </c>
      <c r="B123">
        <v>121</v>
      </c>
      <c r="C123">
        <v>2</v>
      </c>
      <c r="D123" t="s">
        <v>275</v>
      </c>
      <c r="E123" s="3" t="s">
        <v>277</v>
      </c>
      <c r="F123" t="s">
        <v>276</v>
      </c>
      <c r="G123" t="str">
        <f>CONCATENATE(D123,A123,E123,C123,F123)</f>
        <v>{"name":"Health facility ease of access - information and guidance (CSD)","xPos":2},</v>
      </c>
    </row>
    <row r="124" spans="1:7" x14ac:dyDescent="0.25">
      <c r="A124" t="s">
        <v>124</v>
      </c>
      <c r="B124">
        <v>122</v>
      </c>
      <c r="C124">
        <v>2</v>
      </c>
      <c r="D124" t="s">
        <v>275</v>
      </c>
      <c r="E124" s="3" t="s">
        <v>277</v>
      </c>
      <c r="F124" t="s">
        <v>276</v>
      </c>
      <c r="G124" t="str">
        <f>CONCATENATE(D124,A124,E124,C124,F124)</f>
        <v>{"name":"Health facility ease of access - flow of care (CSD)","xPos":2},</v>
      </c>
    </row>
    <row r="125" spans="1:7" x14ac:dyDescent="0.25">
      <c r="A125" t="s">
        <v>125</v>
      </c>
      <c r="B125">
        <v>123</v>
      </c>
      <c r="C125">
        <v>2</v>
      </c>
      <c r="D125" t="s">
        <v>275</v>
      </c>
      <c r="E125" s="3" t="s">
        <v>277</v>
      </c>
      <c r="F125" t="s">
        <v>276</v>
      </c>
      <c r="G125" t="str">
        <f>CONCATENATE(D125,A125,E125,C125,F125)</f>
        <v>{"name":"Health facility ease of access - sign posts (CSD)","xPos":2},</v>
      </c>
    </row>
    <row r="126" spans="1:7" x14ac:dyDescent="0.25">
      <c r="A126" t="s">
        <v>126</v>
      </c>
      <c r="B126">
        <v>124</v>
      </c>
      <c r="C126">
        <v>2</v>
      </c>
      <c r="D126" t="s">
        <v>275</v>
      </c>
      <c r="E126" s="3" t="s">
        <v>277</v>
      </c>
      <c r="F126" t="s">
        <v>276</v>
      </c>
      <c r="G126" t="str">
        <f>CONCATENATE(D126,A126,E126,C126,F126)</f>
        <v>{"name":"Treatment or handling of patients by healthworkers (CSD)","xPos":2},</v>
      </c>
    </row>
    <row r="127" spans="1:7" x14ac:dyDescent="0.25">
      <c r="A127" t="s">
        <v>127</v>
      </c>
      <c r="B127">
        <v>125</v>
      </c>
      <c r="C127">
        <v>2</v>
      </c>
      <c r="D127" t="s">
        <v>275</v>
      </c>
      <c r="E127" s="3" t="s">
        <v>277</v>
      </c>
      <c r="F127" t="s">
        <v>276</v>
      </c>
      <c r="G127" t="str">
        <f>CONCATENATE(D127,A127,E127,C127,F127)</f>
        <v>{"name":"Health facilities access issues (CSD)","xPos":2},</v>
      </c>
    </row>
    <row r="128" spans="1:7" x14ac:dyDescent="0.25">
      <c r="A128" t="s">
        <v>128</v>
      </c>
      <c r="B128">
        <v>126</v>
      </c>
      <c r="C128">
        <v>2</v>
      </c>
      <c r="D128" t="s">
        <v>275</v>
      </c>
      <c r="E128" s="3" t="s">
        <v>277</v>
      </c>
      <c r="F128" t="s">
        <v>276</v>
      </c>
      <c r="G128" t="str">
        <f>CONCATENATE(D128,A128,E128,C128,F128)</f>
        <v>{"name":"Minimising health facilities access issues (CSD)","xPos":2},</v>
      </c>
    </row>
    <row r="129" spans="1:7" x14ac:dyDescent="0.25">
      <c r="A129" t="s">
        <v>129</v>
      </c>
      <c r="B129">
        <v>127</v>
      </c>
      <c r="C129">
        <v>2</v>
      </c>
      <c r="D129" t="s">
        <v>275</v>
      </c>
      <c r="E129" s="3" t="s">
        <v>277</v>
      </c>
      <c r="F129" t="s">
        <v>276</v>
      </c>
      <c r="G129" t="str">
        <f>CONCATENATE(D129,A129,E129,C129,F129)</f>
        <v>{"name":"Improvement in access to safe water (CSD)","xPos":2},</v>
      </c>
    </row>
    <row r="130" spans="1:7" x14ac:dyDescent="0.25">
      <c r="A130" t="s">
        <v>130</v>
      </c>
      <c r="B130">
        <v>128</v>
      </c>
      <c r="C130">
        <v>2</v>
      </c>
      <c r="D130" t="s">
        <v>275</v>
      </c>
      <c r="E130" s="3" t="s">
        <v>277</v>
      </c>
      <c r="F130" t="s">
        <v>276</v>
      </c>
      <c r="G130" t="str">
        <f>CONCATENATE(D130,A130,E130,C130,F130)</f>
        <v>{"name":"Ever protected water catchment areas (CSD)","xPos":2},</v>
      </c>
    </row>
    <row r="131" spans="1:7" x14ac:dyDescent="0.25">
      <c r="A131" t="s">
        <v>131</v>
      </c>
      <c r="B131">
        <v>129</v>
      </c>
      <c r="C131">
        <v>2</v>
      </c>
      <c r="D131" t="s">
        <v>275</v>
      </c>
      <c r="E131" s="3" t="s">
        <v>277</v>
      </c>
      <c r="F131" t="s">
        <v>276</v>
      </c>
      <c r="G131" t="str">
        <f>CONCATENATE(D131,A131,E131,C131,F131)</f>
        <v>{"name":"Activities to protect water catchment areas (CSD)","xPos":2},</v>
      </c>
    </row>
    <row r="132" spans="1:7" x14ac:dyDescent="0.25">
      <c r="A132" t="s">
        <v>132</v>
      </c>
      <c r="B132">
        <v>130</v>
      </c>
      <c r="C132">
        <v>2</v>
      </c>
      <c r="D132" t="s">
        <v>275</v>
      </c>
      <c r="E132" s="3" t="s">
        <v>277</v>
      </c>
      <c r="F132" t="s">
        <v>276</v>
      </c>
      <c r="G132" t="str">
        <f>CONCATENATE(D132,A132,E132,C132,F132)</f>
        <v>{"name":"Payment for water (CSD)","xPos":2},</v>
      </c>
    </row>
    <row r="133" spans="1:7" x14ac:dyDescent="0.25">
      <c r="A133" t="s">
        <v>133</v>
      </c>
      <c r="B133">
        <v>131</v>
      </c>
      <c r="C133">
        <v>2</v>
      </c>
      <c r="D133" t="s">
        <v>275</v>
      </c>
      <c r="E133" s="3" t="s">
        <v>277</v>
      </c>
      <c r="F133" t="s">
        <v>276</v>
      </c>
      <c r="G133" t="str">
        <f>CONCATENATE(D133,A133,E133,C133,F133)</f>
        <v>{"name":"Amount paid for water (CSD)","xPos":2},</v>
      </c>
    </row>
    <row r="134" spans="1:7" x14ac:dyDescent="0.25">
      <c r="A134" t="s">
        <v>134</v>
      </c>
      <c r="B134">
        <v>132</v>
      </c>
      <c r="C134">
        <v>2</v>
      </c>
      <c r="D134" t="s">
        <v>275</v>
      </c>
      <c r="E134" s="3" t="s">
        <v>277</v>
      </c>
      <c r="F134" t="s">
        <v>276</v>
      </c>
      <c r="G134" t="str">
        <f>CONCATENATE(D134,A134,E134,C134,F134)</f>
        <v>{"name":"Quantity of water used (CSD)","xPos":2},</v>
      </c>
    </row>
    <row r="135" spans="1:7" x14ac:dyDescent="0.25">
      <c r="A135" t="s">
        <v>135</v>
      </c>
      <c r="B135">
        <v>133</v>
      </c>
      <c r="C135">
        <v>2</v>
      </c>
      <c r="D135" t="s">
        <v>275</v>
      </c>
      <c r="E135" s="3" t="s">
        <v>277</v>
      </c>
      <c r="F135" t="s">
        <v>276</v>
      </c>
      <c r="G135" t="str">
        <f>CONCATENATE(D135,A135,E135,C135,F135)</f>
        <v>{"name":"Purpose of the water payments (CSD)","xPos":2},</v>
      </c>
    </row>
    <row r="136" spans="1:7" x14ac:dyDescent="0.25">
      <c r="A136" t="s">
        <v>136</v>
      </c>
      <c r="B136">
        <v>134</v>
      </c>
      <c r="C136">
        <v>2</v>
      </c>
      <c r="D136" t="s">
        <v>275</v>
      </c>
      <c r="E136" s="3" t="s">
        <v>277</v>
      </c>
      <c r="F136" t="s">
        <v>276</v>
      </c>
      <c r="G136" t="str">
        <f>CONCATENATE(D136,A136,E136,C136,F136)</f>
        <v>{"name":"Usual monthly cost of water (CSD)","xPos":2},</v>
      </c>
    </row>
    <row r="137" spans="1:7" x14ac:dyDescent="0.25">
      <c r="A137" t="s">
        <v>137</v>
      </c>
      <c r="B137">
        <v>135</v>
      </c>
      <c r="C137">
        <v>2</v>
      </c>
      <c r="D137" t="s">
        <v>275</v>
      </c>
      <c r="E137" s="3" t="s">
        <v>277</v>
      </c>
      <c r="F137" t="s">
        <v>276</v>
      </c>
      <c r="G137" t="str">
        <f>CONCATENATE(D137,A137,E137,C137,F137)</f>
        <v>{"name":"Affordability of the water costs (CSD)","xPos":2},</v>
      </c>
    </row>
    <row r="138" spans="1:7" x14ac:dyDescent="0.25">
      <c r="A138" t="s">
        <v>138</v>
      </c>
      <c r="B138">
        <v>136</v>
      </c>
      <c r="C138">
        <v>2</v>
      </c>
      <c r="D138" t="s">
        <v>275</v>
      </c>
      <c r="E138" s="3" t="s">
        <v>277</v>
      </c>
      <c r="F138" t="s">
        <v>276</v>
      </c>
      <c r="G138" t="str">
        <f>CONCATENATE(D138,A138,E138,C138,F138)</f>
        <v>{"name":"Households using safe water facilities (CSD)","xPos":2},</v>
      </c>
    </row>
    <row r="139" spans="1:7" x14ac:dyDescent="0.25">
      <c r="A139" t="s">
        <v>139</v>
      </c>
      <c r="B139">
        <v>137</v>
      </c>
      <c r="C139">
        <v>2</v>
      </c>
      <c r="D139" t="s">
        <v>275</v>
      </c>
      <c r="E139" s="3" t="s">
        <v>277</v>
      </c>
      <c r="F139" t="s">
        <v>276</v>
      </c>
      <c r="G139" t="str">
        <f>CONCATENATE(D139,A139,E139,C139,F139)</f>
        <v>{"name":"reasons for incomplete latrine or toilet coverage (CSD)","xPos":2},</v>
      </c>
    </row>
    <row r="140" spans="1:7" x14ac:dyDescent="0.25">
      <c r="A140" t="s">
        <v>140</v>
      </c>
      <c r="B140">
        <v>138</v>
      </c>
      <c r="C140">
        <v>2</v>
      </c>
      <c r="D140" t="s">
        <v>275</v>
      </c>
      <c r="E140" s="3" t="s">
        <v>277</v>
      </c>
      <c r="F140" t="s">
        <v>276</v>
      </c>
      <c r="G140" t="str">
        <f>CONCATENATE(D140,A140,E140,C140,F140)</f>
        <v>{"name":"Availability of school faciities (CSD)","xPos":2},</v>
      </c>
    </row>
    <row r="141" spans="1:7" x14ac:dyDescent="0.25">
      <c r="A141" t="s">
        <v>141</v>
      </c>
      <c r="B141">
        <v>139</v>
      </c>
      <c r="C141">
        <v>2</v>
      </c>
      <c r="D141" t="s">
        <v>275</v>
      </c>
      <c r="E141" s="3" t="s">
        <v>277</v>
      </c>
      <c r="F141" t="s">
        <v>276</v>
      </c>
      <c r="G141" t="str">
        <f>CONCATENATE(D141,A141,E141,C141,F141)</f>
        <v>{"name":"Adquancy of eduction facilities at the school (CSD)","xPos":2},</v>
      </c>
    </row>
    <row r="142" spans="1:7" x14ac:dyDescent="0.25">
      <c r="A142" t="s">
        <v>142</v>
      </c>
      <c r="B142">
        <v>140</v>
      </c>
      <c r="C142">
        <v>2</v>
      </c>
      <c r="D142" t="s">
        <v>275</v>
      </c>
      <c r="E142" s="3" t="s">
        <v>277</v>
      </c>
      <c r="F142" t="s">
        <v>276</v>
      </c>
      <c r="G142" t="str">
        <f>CONCATENATE(D142,A142,E142,C142,F142)</f>
        <v>{"name":"Type of buidings at school (CSD)","xPos":2},</v>
      </c>
    </row>
    <row r="143" spans="1:7" x14ac:dyDescent="0.25">
      <c r="A143" t="s">
        <v>143</v>
      </c>
      <c r="B143">
        <v>141</v>
      </c>
      <c r="C143">
        <v>2</v>
      </c>
      <c r="D143" t="s">
        <v>275</v>
      </c>
      <c r="E143" s="3" t="s">
        <v>277</v>
      </c>
      <c r="F143" t="s">
        <v>276</v>
      </c>
      <c r="G143" t="str">
        <f>CONCATENATE(D143,A143,E143,C143,F143)</f>
        <v>{"name":"Condition of the facilities  at school (CSD)","xPos":2},</v>
      </c>
    </row>
    <row r="144" spans="1:7" x14ac:dyDescent="0.25">
      <c r="A144" t="s">
        <v>144</v>
      </c>
      <c r="B144">
        <v>142</v>
      </c>
      <c r="C144">
        <v>2</v>
      </c>
      <c r="D144" t="s">
        <v>275</v>
      </c>
      <c r="E144" s="3" t="s">
        <v>277</v>
      </c>
      <c r="F144" t="s">
        <v>276</v>
      </c>
      <c r="G144" t="str">
        <f>CONCATENATE(D144,A144,E144,C144,F144)</f>
        <v>{"name":"Number of facilities built in the last 3 years  at school (CSD)","xPos":2},</v>
      </c>
    </row>
    <row r="145" spans="1:7" x14ac:dyDescent="0.25">
      <c r="A145" t="s">
        <v>145</v>
      </c>
      <c r="B145">
        <v>143</v>
      </c>
      <c r="C145">
        <v>2</v>
      </c>
      <c r="D145" t="s">
        <v>275</v>
      </c>
      <c r="E145" s="3" t="s">
        <v>277</v>
      </c>
      <c r="F145" t="s">
        <v>276</v>
      </c>
      <c r="G145" t="str">
        <f>CONCATENATE(D145,A145,E145,C145,F145)</f>
        <v>{"name":"Number of stances for boys  at school (CSD)","xPos":2},</v>
      </c>
    </row>
    <row r="146" spans="1:7" x14ac:dyDescent="0.25">
      <c r="A146" t="s">
        <v>146</v>
      </c>
      <c r="B146">
        <v>144</v>
      </c>
      <c r="C146">
        <v>2</v>
      </c>
      <c r="D146" t="s">
        <v>275</v>
      </c>
      <c r="E146" s="3" t="s">
        <v>277</v>
      </c>
      <c r="F146" t="s">
        <v>276</v>
      </c>
      <c r="G146" t="str">
        <f>CONCATENATE(D146,A146,E146,C146,F146)</f>
        <v>{"name":"Number of stances for girls  at school (CSD)","xPos":2},</v>
      </c>
    </row>
    <row r="147" spans="1:7" x14ac:dyDescent="0.25">
      <c r="A147" t="s">
        <v>147</v>
      </c>
      <c r="B147">
        <v>145</v>
      </c>
      <c r="C147">
        <v>2</v>
      </c>
      <c r="D147" t="s">
        <v>275</v>
      </c>
      <c r="E147" s="3" t="s">
        <v>277</v>
      </c>
      <c r="F147" t="s">
        <v>276</v>
      </c>
      <c r="G147" t="str">
        <f>CONCATENATE(D147,A147,E147,C147,F147)</f>
        <v>{"name":"Handwashing facilities  at school (CSD)","xPos":2},</v>
      </c>
    </row>
    <row r="148" spans="1:7" x14ac:dyDescent="0.25">
      <c r="A148" t="s">
        <v>148</v>
      </c>
      <c r="B148">
        <v>146</v>
      </c>
      <c r="C148">
        <v>2</v>
      </c>
      <c r="D148" t="s">
        <v>275</v>
      </c>
      <c r="E148" s="3" t="s">
        <v>277</v>
      </c>
      <c r="F148" t="s">
        <v>276</v>
      </c>
      <c r="G148" t="str">
        <f>CONCATENATE(D148,A148,E148,C148,F148)</f>
        <v>{"name":"Separate toilet facilities for teachers  at school (CSD)","xPos":2},</v>
      </c>
    </row>
    <row r="149" spans="1:7" x14ac:dyDescent="0.25">
      <c r="A149" t="s">
        <v>149</v>
      </c>
      <c r="B149">
        <v>147</v>
      </c>
      <c r="C149">
        <v>2</v>
      </c>
      <c r="D149" t="s">
        <v>275</v>
      </c>
      <c r="E149" s="3" t="s">
        <v>277</v>
      </c>
      <c r="F149" t="s">
        <v>276</v>
      </c>
      <c r="G149" t="str">
        <f>CONCATENATE(D149,A149,E149,C149,F149)</f>
        <v>{"name":"Number of stances for male teachers  at school (CSD)","xPos":2},</v>
      </c>
    </row>
    <row r="150" spans="1:7" x14ac:dyDescent="0.25">
      <c r="A150" t="s">
        <v>150</v>
      </c>
      <c r="B150">
        <v>148</v>
      </c>
      <c r="C150">
        <v>2</v>
      </c>
      <c r="D150" t="s">
        <v>275</v>
      </c>
      <c r="E150" s="3" t="s">
        <v>277</v>
      </c>
      <c r="F150" t="s">
        <v>276</v>
      </c>
      <c r="G150" t="str">
        <f>CONCATENATE(D150,A150,E150,C150,F150)</f>
        <v>{"name":"Number of stances for female teachers  at school (CSD)","xPos":2},</v>
      </c>
    </row>
    <row r="151" spans="1:7" x14ac:dyDescent="0.25">
      <c r="A151" t="s">
        <v>151</v>
      </c>
      <c r="B151">
        <v>149</v>
      </c>
      <c r="C151">
        <v>2</v>
      </c>
      <c r="D151" t="s">
        <v>275</v>
      </c>
      <c r="E151" s="3" t="s">
        <v>277</v>
      </c>
      <c r="F151" t="s">
        <v>276</v>
      </c>
      <c r="G151" t="str">
        <f>CONCATENATE(D151,A151,E151,C151,F151)</f>
        <v>{"name":"Number of shared stances  at school (CSD)","xPos":2},</v>
      </c>
    </row>
    <row r="152" spans="1:7" x14ac:dyDescent="0.25">
      <c r="A152" t="s">
        <v>152</v>
      </c>
      <c r="B152">
        <v>150</v>
      </c>
      <c r="C152">
        <v>2</v>
      </c>
      <c r="D152" t="s">
        <v>275</v>
      </c>
      <c r="E152" s="3" t="s">
        <v>277</v>
      </c>
      <c r="F152" t="s">
        <v>276</v>
      </c>
      <c r="G152" t="str">
        <f>CONCATENATE(D152,A152,E152,C152,F152)</f>
        <v>{"name":"Toilet facility carters for physically impaired children  at school (CSD)","xPos":2},</v>
      </c>
    </row>
    <row r="153" spans="1:7" x14ac:dyDescent="0.25">
      <c r="A153" t="s">
        <v>153</v>
      </c>
      <c r="B153">
        <v>151</v>
      </c>
      <c r="C153">
        <v>2</v>
      </c>
      <c r="D153" t="s">
        <v>275</v>
      </c>
      <c r="E153" s="3" t="s">
        <v>277</v>
      </c>
      <c r="F153" t="s">
        <v>276</v>
      </c>
      <c r="G153" t="str">
        <f>CONCATENATE(D153,A153,E153,C153,F153)</f>
        <v>{"name":"First aid facilities  at school (CSD)","xPos":2},</v>
      </c>
    </row>
    <row r="154" spans="1:7" x14ac:dyDescent="0.25">
      <c r="A154" t="s">
        <v>154</v>
      </c>
      <c r="B154">
        <v>152</v>
      </c>
      <c r="C154">
        <v>2</v>
      </c>
      <c r="D154" t="s">
        <v>275</v>
      </c>
      <c r="E154" s="3" t="s">
        <v>277</v>
      </c>
      <c r="F154" t="s">
        <v>276</v>
      </c>
      <c r="G154" t="str">
        <f>CONCATENATE(D154,A154,E154,C154,F154)</f>
        <v>{"name":"Whoadministers First Aid at the school (CSD)","xPos":2},</v>
      </c>
    </row>
    <row r="155" spans="1:7" x14ac:dyDescent="0.25">
      <c r="A155" t="s">
        <v>155</v>
      </c>
      <c r="B155">
        <v>153</v>
      </c>
      <c r="C155">
        <v>2</v>
      </c>
      <c r="D155" t="s">
        <v>275</v>
      </c>
      <c r="E155" s="3" t="s">
        <v>277</v>
      </c>
      <c r="F155" t="s">
        <v>276</v>
      </c>
      <c r="G155" t="str">
        <f>CONCATENATE(D155,A155,E155,C155,F155)</f>
        <v>{"name":"Source of drinking water at the school (CSD)","xPos":2},</v>
      </c>
    </row>
    <row r="156" spans="1:7" x14ac:dyDescent="0.25">
      <c r="A156" t="s">
        <v>156</v>
      </c>
      <c r="B156">
        <v>154</v>
      </c>
      <c r="C156">
        <v>2</v>
      </c>
      <c r="D156" t="s">
        <v>275</v>
      </c>
      <c r="E156" s="3" t="s">
        <v>277</v>
      </c>
      <c r="F156" t="s">
        <v>276</v>
      </c>
      <c r="G156" t="str">
        <f>CONCATENATE(D156,A156,E156,C156,F156)</f>
        <v>{"name":"Source of drinking water at the school ranked (CSD)","xPos":2},</v>
      </c>
    </row>
    <row r="157" spans="1:7" x14ac:dyDescent="0.25">
      <c r="A157" t="s">
        <v>157</v>
      </c>
      <c r="B157">
        <v>155</v>
      </c>
      <c r="C157">
        <v>2</v>
      </c>
      <c r="D157" t="s">
        <v>275</v>
      </c>
      <c r="E157" s="3" t="s">
        <v>277</v>
      </c>
      <c r="F157" t="s">
        <v>276</v>
      </c>
      <c r="G157" t="str">
        <f>CONCATENATE(D157,A157,E157,C157,F157)</f>
        <v>{"name":"Distance to each important drinking water source (CSD)","xPos":2},</v>
      </c>
    </row>
    <row r="158" spans="1:7" x14ac:dyDescent="0.25">
      <c r="A158" t="s">
        <v>158</v>
      </c>
      <c r="B158">
        <v>156</v>
      </c>
      <c r="C158">
        <v>2</v>
      </c>
      <c r="D158" t="s">
        <v>275</v>
      </c>
      <c r="E158" s="3" t="s">
        <v>277</v>
      </c>
      <c r="F158" t="s">
        <v>276</v>
      </c>
      <c r="G158" t="str">
        <f>CONCATENATE(D158,A158,E158,C158,F158)</f>
        <v>{"name":"How reliable are these important water sources? (CSD)","xPos":2},</v>
      </c>
    </row>
    <row r="159" spans="1:7" x14ac:dyDescent="0.25">
      <c r="A159" t="s">
        <v>159</v>
      </c>
      <c r="B159">
        <v>157</v>
      </c>
      <c r="C159">
        <v>2</v>
      </c>
      <c r="D159" t="s">
        <v>275</v>
      </c>
      <c r="E159" s="3" t="s">
        <v>277</v>
      </c>
      <c r="F159" t="s">
        <v>276</v>
      </c>
      <c r="G159" t="str">
        <f>CONCATENATE(D159,A159,E159,C159,F159)</f>
        <v>{"name":"Items provided to students (CSD)","xPos":2},</v>
      </c>
    </row>
    <row r="160" spans="1:7" x14ac:dyDescent="0.25">
      <c r="A160" t="s">
        <v>160</v>
      </c>
      <c r="B160">
        <v>158</v>
      </c>
      <c r="C160">
        <v>2</v>
      </c>
      <c r="D160" t="s">
        <v>275</v>
      </c>
      <c r="E160" s="3" t="s">
        <v>277</v>
      </c>
      <c r="F160" t="s">
        <v>276</v>
      </c>
      <c r="G160" t="str">
        <f>CONCATENATE(D160,A160,E160,C160,F160)</f>
        <v>{"name":"Are items provided to students charged (CSD)","xPos":2},</v>
      </c>
    </row>
    <row r="161" spans="1:7" x14ac:dyDescent="0.25">
      <c r="A161" t="s">
        <v>161</v>
      </c>
      <c r="B161">
        <v>159</v>
      </c>
      <c r="C161">
        <v>2</v>
      </c>
      <c r="D161" t="s">
        <v>275</v>
      </c>
      <c r="E161" s="3" t="s">
        <v>277</v>
      </c>
      <c r="F161" t="s">
        <v>276</v>
      </c>
      <c r="G161" t="str">
        <f>CONCATENATE(D161,A161,E161,C161,F161)</f>
        <v>{"name":"Average amount charged per child per item (CSD)","xPos":2},</v>
      </c>
    </row>
    <row r="162" spans="1:7" x14ac:dyDescent="0.25">
      <c r="A162" t="s">
        <v>162</v>
      </c>
      <c r="B162">
        <v>160</v>
      </c>
      <c r="C162">
        <v>2</v>
      </c>
      <c r="D162" t="s">
        <v>275</v>
      </c>
      <c r="E162" s="3" t="s">
        <v>277</v>
      </c>
      <c r="F162" t="s">
        <v>276</v>
      </c>
      <c r="G162" t="str">
        <f>CONCATENATE(D162,A162,E162,C162,F162)</f>
        <v>{"name":"Frequency of payment per item (CSD)","xPos":2},</v>
      </c>
    </row>
    <row r="163" spans="1:7" x14ac:dyDescent="0.25">
      <c r="A163" t="s">
        <v>163</v>
      </c>
      <c r="B163">
        <v>161</v>
      </c>
      <c r="C163">
        <v>2</v>
      </c>
      <c r="D163" t="s">
        <v>275</v>
      </c>
      <c r="E163" s="3" t="s">
        <v>277</v>
      </c>
      <c r="F163" t="s">
        <v>276</v>
      </c>
      <c r="G163" t="str">
        <f>CONCATENATE(D163,A163,E163,C163,F163)</f>
        <v>{"name":"Total number of candidates examined - boys (CSD)","xPos":2},</v>
      </c>
    </row>
    <row r="164" spans="1:7" x14ac:dyDescent="0.25">
      <c r="A164" t="s">
        <v>164</v>
      </c>
      <c r="B164">
        <v>162</v>
      </c>
      <c r="C164">
        <v>2</v>
      </c>
      <c r="D164" t="s">
        <v>275</v>
      </c>
      <c r="E164" s="3" t="s">
        <v>277</v>
      </c>
      <c r="F164" t="s">
        <v>276</v>
      </c>
      <c r="G164" t="str">
        <f>CONCATENATE(D164,A164,E164,C164,F164)</f>
        <v>{"name":"Total number of candidates examined - girls (CSD)","xPos":2},</v>
      </c>
    </row>
    <row r="165" spans="1:7" x14ac:dyDescent="0.25">
      <c r="A165" t="s">
        <v>165</v>
      </c>
      <c r="B165">
        <v>163</v>
      </c>
      <c r="C165">
        <v>2</v>
      </c>
      <c r="D165" t="s">
        <v>275</v>
      </c>
      <c r="E165" s="3" t="s">
        <v>277</v>
      </c>
      <c r="F165" t="s">
        <v>276</v>
      </c>
      <c r="G165" t="str">
        <f>CONCATENATE(D165,A165,E165,C165,F165)</f>
        <v>{"name":"Number who passed with grade one (1) - boys (CSD)","xPos":2},</v>
      </c>
    </row>
    <row r="166" spans="1:7" x14ac:dyDescent="0.25">
      <c r="A166" t="s">
        <v>166</v>
      </c>
      <c r="B166">
        <v>164</v>
      </c>
      <c r="C166">
        <v>2</v>
      </c>
      <c r="D166" t="s">
        <v>275</v>
      </c>
      <c r="E166" s="3" t="s">
        <v>277</v>
      </c>
      <c r="F166" t="s">
        <v>276</v>
      </c>
      <c r="G166" t="str">
        <f>CONCATENATE(D166,A166,E166,C166,F166)</f>
        <v>{"name":"Number who passed with grade one (1) - girls (CSD)","xPos":2},</v>
      </c>
    </row>
    <row r="167" spans="1:7" x14ac:dyDescent="0.25">
      <c r="A167" t="s">
        <v>167</v>
      </c>
      <c r="B167">
        <v>165</v>
      </c>
      <c r="C167">
        <v>2</v>
      </c>
      <c r="D167" t="s">
        <v>275</v>
      </c>
      <c r="E167" s="3" t="s">
        <v>277</v>
      </c>
      <c r="F167" t="s">
        <v>276</v>
      </c>
      <c r="G167" t="str">
        <f>CONCATENATE(D167,A167,E167,C167,F167)</f>
        <v>{"name":"Number who passed with grade two (2) - boys (CSD)","xPos":2},</v>
      </c>
    </row>
    <row r="168" spans="1:7" x14ac:dyDescent="0.25">
      <c r="A168" t="s">
        <v>168</v>
      </c>
      <c r="B168">
        <v>166</v>
      </c>
      <c r="C168">
        <v>2</v>
      </c>
      <c r="D168" t="s">
        <v>275</v>
      </c>
      <c r="E168" s="3" t="s">
        <v>277</v>
      </c>
      <c r="F168" t="s">
        <v>276</v>
      </c>
      <c r="G168" t="str">
        <f>CONCATENATE(D168,A168,E168,C168,F168)</f>
        <v>{"name":"Number who passed with grade two (2) - girls (CSD)","xPos":2},</v>
      </c>
    </row>
    <row r="169" spans="1:7" x14ac:dyDescent="0.25">
      <c r="A169" t="s">
        <v>169</v>
      </c>
      <c r="B169">
        <v>167</v>
      </c>
      <c r="C169">
        <v>2</v>
      </c>
      <c r="D169" t="s">
        <v>275</v>
      </c>
      <c r="E169" s="3" t="s">
        <v>277</v>
      </c>
      <c r="F169" t="s">
        <v>276</v>
      </c>
      <c r="G169" t="str">
        <f>CONCATENATE(D169,A169,E169,C169,F169)</f>
        <v>{"name":"Number who passed with grade three (3) - boys (CSD)","xPos":2},</v>
      </c>
    </row>
    <row r="170" spans="1:7" x14ac:dyDescent="0.25">
      <c r="A170" t="s">
        <v>170</v>
      </c>
      <c r="B170">
        <v>168</v>
      </c>
      <c r="C170">
        <v>2</v>
      </c>
      <c r="D170" t="s">
        <v>275</v>
      </c>
      <c r="E170" s="3" t="s">
        <v>277</v>
      </c>
      <c r="F170" t="s">
        <v>276</v>
      </c>
      <c r="G170" t="str">
        <f>CONCATENATE(D170,A170,E170,C170,F170)</f>
        <v>{"name":"Number who passed with grade three (3) - girl (CSD)","xPos":2},</v>
      </c>
    </row>
    <row r="171" spans="1:7" x14ac:dyDescent="0.25">
      <c r="A171" t="s">
        <v>171</v>
      </c>
      <c r="B171">
        <v>169</v>
      </c>
      <c r="C171">
        <v>2</v>
      </c>
      <c r="D171" t="s">
        <v>275</v>
      </c>
      <c r="E171" s="3" t="s">
        <v>277</v>
      </c>
      <c r="F171" t="s">
        <v>276</v>
      </c>
      <c r="G171" t="str">
        <f>CONCATENATE(D171,A171,E171,C171,F171)</f>
        <v>{"name":"Are there any pupils who left school before completing P.7 (CSD)","xPos":2},</v>
      </c>
    </row>
    <row r="172" spans="1:7" x14ac:dyDescent="0.25">
      <c r="A172" t="s">
        <v>172</v>
      </c>
      <c r="B172">
        <v>170</v>
      </c>
      <c r="C172">
        <v>2</v>
      </c>
      <c r="D172" t="s">
        <v>275</v>
      </c>
      <c r="E172" s="3" t="s">
        <v>277</v>
      </c>
      <c r="F172" t="s">
        <v>276</v>
      </c>
      <c r="G172" t="str">
        <f>CONCATENATE(D172,A172,E172,C172,F172)</f>
        <v>{"name":"Number who left before completing P.7 per year - boys (CSD)","xPos":2},</v>
      </c>
    </row>
    <row r="173" spans="1:7" x14ac:dyDescent="0.25">
      <c r="A173" t="s">
        <v>173</v>
      </c>
      <c r="B173">
        <v>171</v>
      </c>
      <c r="C173">
        <v>2</v>
      </c>
      <c r="D173" t="s">
        <v>275</v>
      </c>
      <c r="E173" s="3" t="s">
        <v>277</v>
      </c>
      <c r="F173" t="s">
        <v>276</v>
      </c>
      <c r="G173" t="str">
        <f>CONCATENATE(D173,A173,E173,C173,F173)</f>
        <v>{"name":"Number who left before completing P.7 per year - girls (CSD)","xPos":2},</v>
      </c>
    </row>
    <row r="174" spans="1:7" x14ac:dyDescent="0.25">
      <c r="A174" t="s">
        <v>174</v>
      </c>
      <c r="B174">
        <v>172</v>
      </c>
      <c r="C174">
        <v>2</v>
      </c>
      <c r="D174" t="s">
        <v>275</v>
      </c>
      <c r="E174" s="3" t="s">
        <v>277</v>
      </c>
      <c r="F174" t="s">
        <v>276</v>
      </c>
      <c r="G174" t="str">
        <f>CONCATENATE(D174,A174,E174,C174,F174)</f>
        <v>{"name":"MOST common reason for leaving school - boys (CSD)","xPos":2},</v>
      </c>
    </row>
    <row r="175" spans="1:7" x14ac:dyDescent="0.25">
      <c r="A175" t="s">
        <v>175</v>
      </c>
      <c r="B175">
        <v>173</v>
      </c>
      <c r="C175">
        <v>2</v>
      </c>
      <c r="D175" t="s">
        <v>275</v>
      </c>
      <c r="E175" s="3" t="s">
        <v>277</v>
      </c>
      <c r="F175" t="s">
        <v>276</v>
      </c>
      <c r="G175" t="str">
        <f>CONCATENATE(D175,A175,E175,C175,F175)</f>
        <v>{"name":"MOST common reason for leaving school - girls (CSD)","xPos":2},</v>
      </c>
    </row>
    <row r="176" spans="1:7" x14ac:dyDescent="0.25">
      <c r="A176" t="s">
        <v>176</v>
      </c>
      <c r="B176">
        <v>174</v>
      </c>
      <c r="C176">
        <v>2</v>
      </c>
      <c r="D176" t="s">
        <v>275</v>
      </c>
      <c r="E176" s="3" t="s">
        <v>277</v>
      </c>
      <c r="F176" t="s">
        <v>276</v>
      </c>
      <c r="G176" t="str">
        <f>CONCATENATE(D176,A176,E176,C176,F176)</f>
        <v>{"name":"Does the school hold meetings (CSD)","xPos":2},</v>
      </c>
    </row>
    <row r="177" spans="1:7" x14ac:dyDescent="0.25">
      <c r="A177" t="s">
        <v>177</v>
      </c>
      <c r="B177">
        <v>175</v>
      </c>
      <c r="C177">
        <v>2</v>
      </c>
      <c r="D177" t="s">
        <v>275</v>
      </c>
      <c r="E177" s="3" t="s">
        <v>277</v>
      </c>
      <c r="F177" t="s">
        <v>276</v>
      </c>
      <c r="G177" t="str">
        <f>CONCATENATE(D177,A177,E177,C177,F177)</f>
        <v>{"name":"When was the last school meeting held - month (CSD)","xPos":2},</v>
      </c>
    </row>
    <row r="178" spans="1:7" x14ac:dyDescent="0.25">
      <c r="A178" t="s">
        <v>178</v>
      </c>
      <c r="B178">
        <v>176</v>
      </c>
      <c r="C178">
        <v>2</v>
      </c>
      <c r="D178" t="s">
        <v>275</v>
      </c>
      <c r="E178" s="3" t="s">
        <v>277</v>
      </c>
      <c r="F178" t="s">
        <v>276</v>
      </c>
      <c r="G178" t="str">
        <f>CONCATENATE(D178,A178,E178,C178,F178)</f>
        <v>{"name":"When was the last school meeting held - year (CSD)","xPos":2},</v>
      </c>
    </row>
    <row r="179" spans="1:7" x14ac:dyDescent="0.25">
      <c r="A179" t="s">
        <v>179</v>
      </c>
      <c r="B179">
        <v>177</v>
      </c>
      <c r="C179">
        <v>2</v>
      </c>
      <c r="D179" t="s">
        <v>275</v>
      </c>
      <c r="E179" s="3" t="s">
        <v>277</v>
      </c>
      <c r="F179" t="s">
        <v>276</v>
      </c>
      <c r="G179" t="str">
        <f>CONCATENATE(D179,A179,E179,C179,F179)</f>
        <v>{"name":"Minutes kept for the school meetings (CSD)","xPos":2},</v>
      </c>
    </row>
    <row r="180" spans="1:7" x14ac:dyDescent="0.25">
      <c r="A180" t="s">
        <v>180</v>
      </c>
      <c r="B180">
        <v>178</v>
      </c>
      <c r="C180">
        <v>2</v>
      </c>
      <c r="D180" t="s">
        <v>275</v>
      </c>
      <c r="E180" s="3" t="s">
        <v>277</v>
      </c>
      <c r="F180" t="s">
        <v>276</v>
      </c>
      <c r="G180" t="str">
        <f>CONCATENATE(D180,A180,E180,C180,F180)</f>
        <v>{"name":"School meetings frequency (CSD)","xPos":2},</v>
      </c>
    </row>
    <row r="181" spans="1:7" x14ac:dyDescent="0.25">
      <c r="A181" t="s">
        <v>181</v>
      </c>
      <c r="B181">
        <v>179</v>
      </c>
      <c r="C181">
        <v>2</v>
      </c>
      <c r="D181" t="s">
        <v>275</v>
      </c>
      <c r="E181" s="3" t="s">
        <v>277</v>
      </c>
      <c r="F181" t="s">
        <v>276</v>
      </c>
      <c r="G181" t="str">
        <f>CONCATENATE(D181,A181,E181,C181,F181)</f>
        <v>{"name":"Additional teachers required in school to meet the government ceilings - number of teachers (CSD)","xPos":2},</v>
      </c>
    </row>
    <row r="182" spans="1:7" x14ac:dyDescent="0.25">
      <c r="A182" t="s">
        <v>182</v>
      </c>
      <c r="B182">
        <v>180</v>
      </c>
      <c r="C182">
        <v>2</v>
      </c>
      <c r="D182" t="s">
        <v>275</v>
      </c>
      <c r="E182" s="3" t="s">
        <v>277</v>
      </c>
      <c r="F182" t="s">
        <v>276</v>
      </c>
      <c r="G182" t="str">
        <f>CONCATENATE(D182,A182,E182,C182,F182)</f>
        <v>{"name":"Additional teachers required in school to meet the government ceilings - additional number required (CSD)","xPos":2},</v>
      </c>
    </row>
    <row r="183" spans="1:7" x14ac:dyDescent="0.25">
      <c r="A183" t="s">
        <v>183</v>
      </c>
      <c r="B183">
        <v>181</v>
      </c>
      <c r="C183">
        <v>2</v>
      </c>
      <c r="D183" t="s">
        <v>275</v>
      </c>
      <c r="E183" s="3" t="s">
        <v>277</v>
      </c>
      <c r="F183" t="s">
        <v>276</v>
      </c>
      <c r="G183" t="str">
        <f>CONCATENATE(D183,A183,E183,C183,F183)</f>
        <v>{"name":"Does someone supervise or monitor the school (CSD)","xPos":2},</v>
      </c>
    </row>
    <row r="184" spans="1:7" x14ac:dyDescent="0.25">
      <c r="A184" t="s">
        <v>184</v>
      </c>
      <c r="B184">
        <v>182</v>
      </c>
      <c r="C184">
        <v>2</v>
      </c>
      <c r="D184" t="s">
        <v>275</v>
      </c>
      <c r="E184" s="3" t="s">
        <v>277</v>
      </c>
      <c r="F184" t="s">
        <v>276</v>
      </c>
      <c r="G184" t="str">
        <f>CONCATENATE(D184,A184,E184,C184,F184)</f>
        <v>{"name":"Last visit by a school supervisor- month (CSD)","xPos":2},</v>
      </c>
    </row>
    <row r="185" spans="1:7" x14ac:dyDescent="0.25">
      <c r="A185" t="s">
        <v>185</v>
      </c>
      <c r="B185">
        <v>183</v>
      </c>
      <c r="C185">
        <v>2</v>
      </c>
      <c r="D185" t="s">
        <v>275</v>
      </c>
      <c r="E185" s="3" t="s">
        <v>277</v>
      </c>
      <c r="F185" t="s">
        <v>276</v>
      </c>
      <c r="G185" t="str">
        <f>CONCATENATE(D185,A185,E185,C185,F185)</f>
        <v>{"name":"Last visit by a school supervisor- year (CSD)","xPos":2},</v>
      </c>
    </row>
    <row r="186" spans="1:7" x14ac:dyDescent="0.25">
      <c r="A186" t="s">
        <v>186</v>
      </c>
      <c r="B186">
        <v>184</v>
      </c>
      <c r="C186">
        <v>2</v>
      </c>
      <c r="D186" t="s">
        <v>275</v>
      </c>
      <c r="E186" s="3" t="s">
        <v>277</v>
      </c>
      <c r="F186" t="s">
        <v>276</v>
      </c>
      <c r="G186" t="str">
        <f>CONCATENATE(D186,A186,E186,C186,F186)</f>
        <v>{"name":"Frequency of school supervision/monitoring (CSD)","xPos":2},</v>
      </c>
    </row>
    <row r="187" spans="1:7" x14ac:dyDescent="0.25">
      <c r="A187" t="s">
        <v>187</v>
      </c>
      <c r="B187">
        <v>185</v>
      </c>
      <c r="C187">
        <v>2</v>
      </c>
      <c r="D187" t="s">
        <v>275</v>
      </c>
      <c r="E187" s="3" t="s">
        <v>277</v>
      </c>
      <c r="F187" t="s">
        <v>276</v>
      </c>
      <c r="G187" t="str">
        <f>CONCATENATE(D187,A187,E187,C187,F187)</f>
        <v>{"name":"District (VR)","xPos":2},</v>
      </c>
    </row>
    <row r="188" spans="1:7" x14ac:dyDescent="0.25">
      <c r="A188" t="s">
        <v>188</v>
      </c>
      <c r="B188">
        <v>186</v>
      </c>
      <c r="C188">
        <v>2</v>
      </c>
      <c r="D188" t="s">
        <v>275</v>
      </c>
      <c r="E188" s="3" t="s">
        <v>277</v>
      </c>
      <c r="F188" t="s">
        <v>276</v>
      </c>
      <c r="G188" t="str">
        <f>CONCATENATE(D188,A188,E188,C188,F188)</f>
        <v>{"name":"Constituency (VR)","xPos":2},</v>
      </c>
    </row>
    <row r="189" spans="1:7" x14ac:dyDescent="0.25">
      <c r="A189" t="s">
        <v>189</v>
      </c>
      <c r="B189">
        <v>187</v>
      </c>
      <c r="C189">
        <v>2</v>
      </c>
      <c r="D189" t="s">
        <v>275</v>
      </c>
      <c r="E189" s="3" t="s">
        <v>277</v>
      </c>
      <c r="F189" t="s">
        <v>276</v>
      </c>
      <c r="G189" t="str">
        <f>CONCATENATE(D189,A189,E189,C189,F189)</f>
        <v>{"name":"Sub-County (VR)","xPos":2},</v>
      </c>
    </row>
    <row r="190" spans="1:7" x14ac:dyDescent="0.25">
      <c r="A190" t="s">
        <v>190</v>
      </c>
      <c r="B190">
        <v>188</v>
      </c>
      <c r="C190">
        <v>2</v>
      </c>
      <c r="D190" t="s">
        <v>275</v>
      </c>
      <c r="E190" s="3" t="s">
        <v>277</v>
      </c>
      <c r="F190" t="s">
        <v>276</v>
      </c>
      <c r="G190" t="str">
        <f>CONCATENATE(D190,A190,E190,C190,F190)</f>
        <v>{"name":"Parish (VR)","xPos":2},</v>
      </c>
    </row>
    <row r="191" spans="1:7" x14ac:dyDescent="0.25">
      <c r="A191" t="s">
        <v>191</v>
      </c>
      <c r="B191">
        <v>189</v>
      </c>
      <c r="C191">
        <v>2</v>
      </c>
      <c r="D191" t="s">
        <v>275</v>
      </c>
      <c r="E191" s="3" t="s">
        <v>277</v>
      </c>
      <c r="F191" t="s">
        <v>276</v>
      </c>
      <c r="G191" t="str">
        <f>CONCATENATE(D191,A191,E191,C191,F191)</f>
        <v>{"name":"Polling station (VR)","xPos":2},</v>
      </c>
    </row>
    <row r="192" spans="1:7" x14ac:dyDescent="0.25">
      <c r="A192" t="s">
        <v>192</v>
      </c>
      <c r="B192">
        <v>190</v>
      </c>
      <c r="C192">
        <v>2</v>
      </c>
      <c r="D192" t="s">
        <v>275</v>
      </c>
      <c r="E192" s="3" t="s">
        <v>277</v>
      </c>
      <c r="F192" t="s">
        <v>276</v>
      </c>
      <c r="G192" t="str">
        <f>CONCATENATE(D192,A192,E192,C192,F192)</f>
        <v>{"name":"Voter names (VR)","xPos":2},</v>
      </c>
    </row>
    <row r="193" spans="1:7" x14ac:dyDescent="0.25">
      <c r="A193" t="s">
        <v>193</v>
      </c>
      <c r="B193">
        <v>191</v>
      </c>
      <c r="C193">
        <v>2</v>
      </c>
      <c r="D193" t="s">
        <v>275</v>
      </c>
      <c r="E193" s="3" t="s">
        <v>277</v>
      </c>
      <c r="F193" t="s">
        <v>276</v>
      </c>
      <c r="G193" t="str">
        <f>CONCATENATE(D193,A193,E193,C193,F193)</f>
        <v>{"name":"Voter's Age (VR)","xPos":2},</v>
      </c>
    </row>
    <row r="194" spans="1:7" x14ac:dyDescent="0.25">
      <c r="A194" t="s">
        <v>194</v>
      </c>
      <c r="B194">
        <v>192</v>
      </c>
      <c r="C194">
        <v>2</v>
      </c>
      <c r="D194" t="s">
        <v>275</v>
      </c>
      <c r="E194" s="3" t="s">
        <v>277</v>
      </c>
      <c r="F194" t="s">
        <v>276</v>
      </c>
      <c r="G194" t="str">
        <f>CONCATENATE(D194,A194,E194,C194,F194)</f>
        <v>{"name":"Voter's Sex (VR)","xPos":2},</v>
      </c>
    </row>
    <row r="195" spans="1:7" x14ac:dyDescent="0.25">
      <c r="A195" t="s">
        <v>195</v>
      </c>
      <c r="B195">
        <v>193</v>
      </c>
      <c r="C195">
        <v>2</v>
      </c>
      <c r="D195" t="s">
        <v>275</v>
      </c>
      <c r="E195" s="3" t="s">
        <v>277</v>
      </c>
      <c r="F195" t="s">
        <v>276</v>
      </c>
      <c r="G195" t="str">
        <f>CONCATENATE(D195,A195,E195,C195,F195)</f>
        <v>{"name":"Voter's village (VR)","xPos":2},</v>
      </c>
    </row>
    <row r="196" spans="1:7" x14ac:dyDescent="0.25">
      <c r="A196" t="s">
        <v>196</v>
      </c>
      <c r="B196">
        <v>194</v>
      </c>
      <c r="C196">
        <v>2</v>
      </c>
      <c r="D196" t="s">
        <v>275</v>
      </c>
      <c r="E196" s="3" t="s">
        <v>277</v>
      </c>
      <c r="F196" t="s">
        <v>276</v>
      </c>
      <c r="G196" t="str">
        <f>CONCATENATE(D196,A196,E196,C196,F196)</f>
        <v>{"name":"Smoking frequency (UDHS)","xPos":2},</v>
      </c>
    </row>
    <row r="197" spans="1:7" x14ac:dyDescent="0.25">
      <c r="A197" t="s">
        <v>197</v>
      </c>
      <c r="B197">
        <v>195</v>
      </c>
      <c r="C197">
        <v>2</v>
      </c>
      <c r="D197" t="s">
        <v>275</v>
      </c>
      <c r="E197" s="3" t="s">
        <v>277</v>
      </c>
      <c r="F197" t="s">
        <v>276</v>
      </c>
      <c r="G197" t="str">
        <f>CONCATENATE(D197,A197,E197,C197,F197)</f>
        <v>{"name":"Drinking water source (UDHS)","xPos":2},</v>
      </c>
    </row>
    <row r="198" spans="1:7" x14ac:dyDescent="0.25">
      <c r="A198" t="s">
        <v>198</v>
      </c>
      <c r="B198">
        <v>196</v>
      </c>
      <c r="C198">
        <v>2</v>
      </c>
      <c r="D198" t="s">
        <v>275</v>
      </c>
      <c r="E198" s="3" t="s">
        <v>277</v>
      </c>
      <c r="F198" t="s">
        <v>276</v>
      </c>
      <c r="G198" t="str">
        <f>CONCATENATE(D198,A198,E198,C198,F198)</f>
        <v>{"name":"Water source location (UDHS)","xPos":2},</v>
      </c>
    </row>
    <row r="199" spans="1:7" x14ac:dyDescent="0.25">
      <c r="A199" t="s">
        <v>199</v>
      </c>
      <c r="B199">
        <v>197</v>
      </c>
      <c r="C199">
        <v>2</v>
      </c>
      <c r="D199" t="s">
        <v>275</v>
      </c>
      <c r="E199" s="3" t="s">
        <v>277</v>
      </c>
      <c r="F199" t="s">
        <v>276</v>
      </c>
      <c r="G199" t="str">
        <f>CONCATENATE(D199,A199,E199,C199,F199)</f>
        <v>{"name":"Time to water source (UDHS)","xPos":2},</v>
      </c>
    </row>
    <row r="200" spans="1:7" x14ac:dyDescent="0.25">
      <c r="A200" t="s">
        <v>200</v>
      </c>
      <c r="B200">
        <v>198</v>
      </c>
      <c r="C200">
        <v>2</v>
      </c>
      <c r="D200" t="s">
        <v>275</v>
      </c>
      <c r="E200" s="3" t="s">
        <v>277</v>
      </c>
      <c r="F200" t="s">
        <v>276</v>
      </c>
      <c r="G200" t="str">
        <f>CONCATENATE(D200,A200,E200,C200,F200)</f>
        <v>{"name":"Safe drinking water usage (UDHS)","xPos":2},</v>
      </c>
    </row>
    <row r="201" spans="1:7" x14ac:dyDescent="0.25">
      <c r="A201" t="s">
        <v>201</v>
      </c>
      <c r="B201">
        <v>199</v>
      </c>
      <c r="C201">
        <v>2</v>
      </c>
      <c r="D201" t="s">
        <v>275</v>
      </c>
      <c r="E201" s="3" t="s">
        <v>277</v>
      </c>
      <c r="F201" t="s">
        <v>276</v>
      </c>
      <c r="G201" t="str">
        <f>CONCATENATE(D201,A201,E201,C201,F201)</f>
        <v>{"name":"Ever given birth (UDHS)","xPos":2},</v>
      </c>
    </row>
    <row r="202" spans="1:7" x14ac:dyDescent="0.25">
      <c r="A202" t="s">
        <v>202</v>
      </c>
      <c r="B202">
        <v>200</v>
      </c>
      <c r="C202">
        <v>2</v>
      </c>
      <c r="D202" t="s">
        <v>275</v>
      </c>
      <c r="E202" s="3" t="s">
        <v>277</v>
      </c>
      <c r="F202" t="s">
        <v>276</v>
      </c>
      <c r="G202" t="str">
        <f>CONCATENATE(D202,A202,E202,C202,F202)</f>
        <v>{"name":"Children mortality (UDHS)","xPos":2},</v>
      </c>
    </row>
    <row r="203" spans="1:7" x14ac:dyDescent="0.25">
      <c r="A203" t="s">
        <v>203</v>
      </c>
      <c r="B203">
        <v>201</v>
      </c>
      <c r="C203">
        <v>2</v>
      </c>
      <c r="D203" t="s">
        <v>275</v>
      </c>
      <c r="E203" s="3" t="s">
        <v>277</v>
      </c>
      <c r="F203" t="s">
        <v>276</v>
      </c>
      <c r="G203" t="str">
        <f>CONCATENATE(D203,A203,E203,C203,F203)</f>
        <v>{"name":"Children mortality - male (UDHS)","xPos":2},</v>
      </c>
    </row>
    <row r="204" spans="1:7" x14ac:dyDescent="0.25">
      <c r="A204" t="s">
        <v>204</v>
      </c>
      <c r="B204">
        <v>202</v>
      </c>
      <c r="C204">
        <v>2</v>
      </c>
      <c r="D204" t="s">
        <v>275</v>
      </c>
      <c r="E204" s="3" t="s">
        <v>277</v>
      </c>
      <c r="F204" t="s">
        <v>276</v>
      </c>
      <c r="G204" t="str">
        <f>CONCATENATE(D204,A204,E204,C204,F204)</f>
        <v>{"name":"Children mortality - female (UDHS)","xPos":2},</v>
      </c>
    </row>
    <row r="205" spans="1:7" x14ac:dyDescent="0.25">
      <c r="A205" t="s">
        <v>205</v>
      </c>
      <c r="B205">
        <v>203</v>
      </c>
      <c r="C205">
        <v>2</v>
      </c>
      <c r="D205" t="s">
        <v>275</v>
      </c>
      <c r="E205" s="3" t="s">
        <v>277</v>
      </c>
      <c r="F205" t="s">
        <v>276</v>
      </c>
      <c r="G205" t="str">
        <f>CONCATENATE(D205,A205,E205,C205,F205)</f>
        <v>{"name":"Current smoking status (UDHS)","xPos":2},</v>
      </c>
    </row>
    <row r="206" spans="1:7" x14ac:dyDescent="0.25">
      <c r="A206" t="s">
        <v>206</v>
      </c>
      <c r="B206">
        <v>204</v>
      </c>
      <c r="C206">
        <v>2</v>
      </c>
      <c r="D206" t="s">
        <v>275</v>
      </c>
      <c r="E206" s="3" t="s">
        <v>277</v>
      </c>
      <c r="F206" t="s">
        <v>276</v>
      </c>
      <c r="G206" t="str">
        <f>CONCATENATE(D206,A206,E206,C206,F206)</f>
        <v>{"name":"Number of cigarettes smoked in the past 24 hours (UDHS)","xPos":2},</v>
      </c>
    </row>
    <row r="207" spans="1:7" x14ac:dyDescent="0.25">
      <c r="A207" t="s">
        <v>207</v>
      </c>
      <c r="B207">
        <v>205</v>
      </c>
      <c r="C207">
        <v>2</v>
      </c>
      <c r="D207" t="s">
        <v>275</v>
      </c>
      <c r="E207" s="3" t="s">
        <v>277</v>
      </c>
      <c r="F207" t="s">
        <v>276</v>
      </c>
      <c r="G207" t="str">
        <f>CONCATENATE(D207,A207,E207,C207,F207)</f>
        <v>{"name":"Smoking any form of tobacco (UDHS)","xPos":2},</v>
      </c>
    </row>
    <row r="208" spans="1:7" x14ac:dyDescent="0.25">
      <c r="A208" t="s">
        <v>208</v>
      </c>
      <c r="B208">
        <v>206</v>
      </c>
      <c r="C208">
        <v>2</v>
      </c>
      <c r="D208" t="s">
        <v>275</v>
      </c>
      <c r="E208" s="3" t="s">
        <v>277</v>
      </c>
      <c r="F208" t="s">
        <v>276</v>
      </c>
      <c r="G208" t="str">
        <f>CONCATENATE(D208,A208,E208,C208,F208)</f>
        <v>{"name":"Other forms of tobacco used (UDHS)","xPos":2},</v>
      </c>
    </row>
    <row r="209" spans="1:7" x14ac:dyDescent="0.25">
      <c r="A209" t="s">
        <v>209</v>
      </c>
      <c r="B209">
        <v>207</v>
      </c>
      <c r="C209">
        <v>2</v>
      </c>
      <c r="D209" t="s">
        <v>275</v>
      </c>
      <c r="E209" s="3" t="s">
        <v>277</v>
      </c>
      <c r="F209" t="s">
        <v>276</v>
      </c>
      <c r="G209" t="str">
        <f>CONCATENATE(D209,A209,E209,C209,F209)</f>
        <v>{"name":"Education level (UGBVS)","xPos":2},</v>
      </c>
    </row>
    <row r="210" spans="1:7" x14ac:dyDescent="0.25">
      <c r="A210" t="s">
        <v>210</v>
      </c>
      <c r="B210">
        <v>208</v>
      </c>
      <c r="C210">
        <v>2</v>
      </c>
      <c r="D210" t="s">
        <v>275</v>
      </c>
      <c r="E210" s="3" t="s">
        <v>277</v>
      </c>
      <c r="F210" t="s">
        <v>276</v>
      </c>
      <c r="G210" t="str">
        <f>CONCATENATE(D210,A210,E210,C210,F210)</f>
        <v>{"name":"Ability to read and write (UGBVS)","xPos":2},</v>
      </c>
    </row>
    <row r="211" spans="1:7" x14ac:dyDescent="0.25">
      <c r="A211" t="s">
        <v>211</v>
      </c>
      <c r="B211">
        <v>209</v>
      </c>
      <c r="C211">
        <v>2</v>
      </c>
      <c r="D211" t="s">
        <v>275</v>
      </c>
      <c r="E211" s="3" t="s">
        <v>277</v>
      </c>
      <c r="F211" t="s">
        <v>276</v>
      </c>
      <c r="G211" t="str">
        <f>CONCATENATE(D211,A211,E211,C211,F211)</f>
        <v>{"name":"Main econoic activity (UGBVS)","xPos":2},</v>
      </c>
    </row>
    <row r="212" spans="1:7" x14ac:dyDescent="0.25">
      <c r="A212" t="s">
        <v>212</v>
      </c>
      <c r="B212">
        <v>210</v>
      </c>
      <c r="C212">
        <v>2</v>
      </c>
      <c r="D212" t="s">
        <v>275</v>
      </c>
      <c r="E212" s="3" t="s">
        <v>277</v>
      </c>
      <c r="F212" t="s">
        <v>276</v>
      </c>
      <c r="G212" t="str">
        <f>CONCATENATE(D212,A212,E212,C212,F212)</f>
        <v>{"name":"Leisure ways (UGBVS)","xPos":2},</v>
      </c>
    </row>
    <row r="213" spans="1:7" x14ac:dyDescent="0.25">
      <c r="A213" t="s">
        <v>213</v>
      </c>
      <c r="B213">
        <v>211</v>
      </c>
      <c r="C213">
        <v>2</v>
      </c>
      <c r="D213" t="s">
        <v>275</v>
      </c>
      <c r="E213" s="3" t="s">
        <v>277</v>
      </c>
      <c r="F213" t="s">
        <v>276</v>
      </c>
      <c r="G213" t="str">
        <f>CONCATENATE(D213,A213,E213,C213,F213)</f>
        <v>{"name":"Access to information (UGBVS)","xPos":2},</v>
      </c>
    </row>
    <row r="214" spans="1:7" x14ac:dyDescent="0.25">
      <c r="A214" t="s">
        <v>214</v>
      </c>
      <c r="B214">
        <v>212</v>
      </c>
      <c r="C214">
        <v>2</v>
      </c>
      <c r="D214" t="s">
        <v>275</v>
      </c>
      <c r="E214" s="3" t="s">
        <v>277</v>
      </c>
      <c r="F214" t="s">
        <v>276</v>
      </c>
      <c r="G214" t="str">
        <f>CONCATENATE(D214,A214,E214,C214,F214)</f>
        <v>{"name":"Forms of gender based violence (UGBVS)","xPos":2},</v>
      </c>
    </row>
    <row r="215" spans="1:7" x14ac:dyDescent="0.25">
      <c r="A215" t="s">
        <v>215</v>
      </c>
      <c r="B215">
        <v>213</v>
      </c>
      <c r="C215">
        <v>2</v>
      </c>
      <c r="D215" t="s">
        <v>275</v>
      </c>
      <c r="E215" s="3" t="s">
        <v>277</v>
      </c>
      <c r="F215" t="s">
        <v>276</v>
      </c>
      <c r="G215" t="str">
        <f>CONCATENATE(D215,A215,E215,C215,F215)</f>
        <v>{"name":"Examples of gender based violence (UGBVS)","xPos":2},</v>
      </c>
    </row>
    <row r="216" spans="1:7" x14ac:dyDescent="0.25">
      <c r="A216" t="s">
        <v>216</v>
      </c>
      <c r="B216">
        <v>214</v>
      </c>
      <c r="C216">
        <v>2</v>
      </c>
      <c r="D216" t="s">
        <v>275</v>
      </c>
      <c r="E216" s="3" t="s">
        <v>277</v>
      </c>
      <c r="F216" t="s">
        <v>276</v>
      </c>
      <c r="G216" t="str">
        <f>CONCATENATE(D216,A216,E216,C216,F216)</f>
        <v>{"name":"Commodity (IMIS)","xPos":2},</v>
      </c>
    </row>
    <row r="217" spans="1:7" x14ac:dyDescent="0.25">
      <c r="A217" t="s">
        <v>217</v>
      </c>
      <c r="B217">
        <v>215</v>
      </c>
      <c r="C217">
        <v>2</v>
      </c>
      <c r="D217" t="s">
        <v>275</v>
      </c>
      <c r="E217" s="3" t="s">
        <v>277</v>
      </c>
      <c r="F217" t="s">
        <v>276</v>
      </c>
      <c r="G217" t="str">
        <f>CONCATENATE(D217,A217,E217,C217,F217)</f>
        <v>{"name":"Commodity Units (IMIS)","xPos":2},</v>
      </c>
    </row>
    <row r="218" spans="1:7" x14ac:dyDescent="0.25">
      <c r="A218" t="s">
        <v>218</v>
      </c>
      <c r="B218">
        <v>216</v>
      </c>
      <c r="C218">
        <v>2</v>
      </c>
      <c r="D218" t="s">
        <v>275</v>
      </c>
      <c r="E218" s="3" t="s">
        <v>277</v>
      </c>
      <c r="F218" t="s">
        <v>276</v>
      </c>
      <c r="G218" t="str">
        <f>CONCATENATE(D218,A218,E218,C218,F218)</f>
        <v>{"name":"Commodity values (IMIS)","xPos":2},</v>
      </c>
    </row>
    <row r="219" spans="1:7" x14ac:dyDescent="0.25">
      <c r="A219" t="s">
        <v>219</v>
      </c>
      <c r="B219">
        <v>217</v>
      </c>
      <c r="C219">
        <v>2</v>
      </c>
      <c r="D219" t="s">
        <v>275</v>
      </c>
      <c r="E219" s="3" t="s">
        <v>277</v>
      </c>
      <c r="F219" t="s">
        <v>276</v>
      </c>
      <c r="G219" t="str">
        <f>CONCATENATE(D219,A219,E219,C219,F219)</f>
        <v>{"name":"Unit price (IMIS)","xPos":2},</v>
      </c>
    </row>
    <row r="220" spans="1:7" x14ac:dyDescent="0.25">
      <c r="A220" t="s">
        <v>220</v>
      </c>
      <c r="B220">
        <v>218</v>
      </c>
      <c r="C220">
        <v>2</v>
      </c>
      <c r="D220" t="s">
        <v>275</v>
      </c>
      <c r="E220" s="3" t="s">
        <v>277</v>
      </c>
      <c r="F220" t="s">
        <v>276</v>
      </c>
      <c r="G220" t="str">
        <f>CONCATENATE(D220,A220,E220,C220,F220)</f>
        <v>{"name":"Name (UGBVS)","xPos":2},</v>
      </c>
    </row>
    <row r="221" spans="1:7" x14ac:dyDescent="0.25">
      <c r="A221" t="s">
        <v>221</v>
      </c>
      <c r="B221">
        <v>219</v>
      </c>
      <c r="C221">
        <v>2</v>
      </c>
      <c r="D221" t="s">
        <v>275</v>
      </c>
      <c r="E221" s="3" t="s">
        <v>277</v>
      </c>
      <c r="F221" t="s">
        <v>276</v>
      </c>
      <c r="G221" t="str">
        <f>CONCATENATE(D221,A221,E221,C221,F221)</f>
        <v>{"name":"Age (UGBVS)","xPos":2},</v>
      </c>
    </row>
    <row r="222" spans="1:7" x14ac:dyDescent="0.25">
      <c r="A222" t="s">
        <v>222</v>
      </c>
      <c r="B222">
        <v>220</v>
      </c>
      <c r="C222">
        <v>2</v>
      </c>
      <c r="D222" t="s">
        <v>275</v>
      </c>
      <c r="E222" s="3" t="s">
        <v>277</v>
      </c>
      <c r="F222" t="s">
        <v>276</v>
      </c>
      <c r="G222" t="str">
        <f>CONCATENATE(D222,A222,E222,C222,F222)</f>
        <v>{"name":"Marital Status (WIS)","xPos":2},</v>
      </c>
    </row>
    <row r="223" spans="1:7" x14ac:dyDescent="0.25">
      <c r="A223" t="s">
        <v>223</v>
      </c>
      <c r="B223">
        <v>221</v>
      </c>
      <c r="C223">
        <v>2</v>
      </c>
      <c r="D223" t="s">
        <v>275</v>
      </c>
      <c r="E223" s="3" t="s">
        <v>277</v>
      </c>
      <c r="F223" t="s">
        <v>276</v>
      </c>
      <c r="G223" t="str">
        <f>CONCATENATE(D223,A223,E223,C223,F223)</f>
        <v>{"name":"Place to wash  hands (WIS)","xPos":2},</v>
      </c>
    </row>
    <row r="224" spans="1:7" x14ac:dyDescent="0.25">
      <c r="A224" t="s">
        <v>224</v>
      </c>
      <c r="B224">
        <v>222</v>
      </c>
      <c r="C224">
        <v>2</v>
      </c>
      <c r="D224" t="s">
        <v>275</v>
      </c>
      <c r="E224" s="3" t="s">
        <v>277</v>
      </c>
      <c r="F224" t="s">
        <v>276</v>
      </c>
      <c r="G224" t="str">
        <f>CONCATENATE(D224,A224,E224,C224,F224)</f>
        <v>{"name":"Place to wash hands - observed (WIS)","xPos":2},</v>
      </c>
    </row>
    <row r="225" spans="1:7" x14ac:dyDescent="0.25">
      <c r="A225" t="s">
        <v>225</v>
      </c>
      <c r="B225">
        <v>223</v>
      </c>
      <c r="C225">
        <v>2</v>
      </c>
      <c r="D225" t="s">
        <v>275</v>
      </c>
      <c r="E225" s="3" t="s">
        <v>277</v>
      </c>
      <c r="F225" t="s">
        <v>276</v>
      </c>
      <c r="G225" t="str">
        <f>CONCATENATE(D225,A225,E225,C225,F225)</f>
        <v>{"name":"Water souces used on a regular basis (WIS)","xPos":2},</v>
      </c>
    </row>
    <row r="226" spans="1:7" x14ac:dyDescent="0.25">
      <c r="A226" t="s">
        <v>226</v>
      </c>
      <c r="B226">
        <v>224</v>
      </c>
      <c r="C226">
        <v>2</v>
      </c>
      <c r="D226" t="s">
        <v>275</v>
      </c>
      <c r="E226" s="3" t="s">
        <v>277</v>
      </c>
      <c r="F226" t="s">
        <v>276</v>
      </c>
      <c r="G226" t="str">
        <f>CONCATENATE(D226,A226,E226,C226,F226)</f>
        <v>{"name":"Source of drinking water (WIS)","xPos":2},</v>
      </c>
    </row>
    <row r="227" spans="1:7" x14ac:dyDescent="0.25">
      <c r="A227" t="s">
        <v>227</v>
      </c>
      <c r="B227">
        <v>225</v>
      </c>
      <c r="C227">
        <v>2</v>
      </c>
      <c r="D227" t="s">
        <v>275</v>
      </c>
      <c r="E227" s="3" t="s">
        <v>277</v>
      </c>
      <c r="F227" t="s">
        <v>276</v>
      </c>
      <c r="G227" t="str">
        <f>CONCATENATE(D227,A227,E227,C227,F227)</f>
        <v>{"name":"Water source for other purposes (WIS)","xPos":2},</v>
      </c>
    </row>
    <row r="228" spans="1:7" x14ac:dyDescent="0.25">
      <c r="A228" t="s">
        <v>228</v>
      </c>
      <c r="B228">
        <v>226</v>
      </c>
      <c r="C228">
        <v>2</v>
      </c>
      <c r="D228" t="s">
        <v>275</v>
      </c>
      <c r="E228" s="3" t="s">
        <v>277</v>
      </c>
      <c r="F228" t="s">
        <v>276</v>
      </c>
      <c r="G228" t="str">
        <f>CONCATENATE(D228,A228,E228,C228,F228)</f>
        <v>{"name":"Uses of the water source (WIS)","xPos":2},</v>
      </c>
    </row>
    <row r="229" spans="1:7" x14ac:dyDescent="0.25">
      <c r="A229" t="s">
        <v>229</v>
      </c>
      <c r="B229">
        <v>227</v>
      </c>
      <c r="C229">
        <v>2</v>
      </c>
      <c r="D229" t="s">
        <v>275</v>
      </c>
      <c r="E229" s="3" t="s">
        <v>277</v>
      </c>
      <c r="F229" t="s">
        <v>276</v>
      </c>
      <c r="G229" t="str">
        <f>CONCATENATE(D229,A229,E229,C229,F229)</f>
        <v>{"name":"Availability of the water source (WIS)","xPos":2},</v>
      </c>
    </row>
    <row r="230" spans="1:7" x14ac:dyDescent="0.25">
      <c r="A230" t="s">
        <v>230</v>
      </c>
      <c r="B230">
        <v>228</v>
      </c>
      <c r="C230">
        <v>2</v>
      </c>
      <c r="D230" t="s">
        <v>275</v>
      </c>
      <c r="E230" s="3" t="s">
        <v>277</v>
      </c>
      <c r="F230" t="s">
        <v>276</v>
      </c>
      <c r="G230" t="str">
        <f>CONCATENATE(D230,A230,E230,C230,F230)</f>
        <v>{"name":"Availability of the water source at specific time (WIS)","xPos":2},</v>
      </c>
    </row>
    <row r="231" spans="1:7" x14ac:dyDescent="0.25">
      <c r="A231" t="s">
        <v>231</v>
      </c>
      <c r="B231">
        <v>229</v>
      </c>
      <c r="C231">
        <v>2</v>
      </c>
      <c r="D231" t="s">
        <v>275</v>
      </c>
      <c r="E231" s="3" t="s">
        <v>277</v>
      </c>
      <c r="F231" t="s">
        <v>276</v>
      </c>
      <c r="G231" t="str">
        <f>CONCATENATE(D231,A231,E231,C231,F231)</f>
        <v>{"name":"Period to and from water source (WIS)","xPos":2},</v>
      </c>
    </row>
    <row r="232" spans="1:7" x14ac:dyDescent="0.25">
      <c r="A232" t="s">
        <v>232</v>
      </c>
      <c r="B232">
        <v>230</v>
      </c>
      <c r="C232">
        <v>2</v>
      </c>
      <c r="D232" t="s">
        <v>275</v>
      </c>
      <c r="E232" s="3" t="s">
        <v>277</v>
      </c>
      <c r="F232" t="s">
        <v>276</v>
      </c>
      <c r="G232" t="str">
        <f>CONCATENATE(D232,A232,E232,C232,F232)</f>
        <v>{"name":"Ownership of a garden (WIS)","xPos":2},</v>
      </c>
    </row>
    <row r="233" spans="1:7" x14ac:dyDescent="0.25">
      <c r="A233" t="s">
        <v>233</v>
      </c>
      <c r="B233">
        <v>231</v>
      </c>
      <c r="C233">
        <v>2</v>
      </c>
      <c r="D233" t="s">
        <v>275</v>
      </c>
      <c r="E233" s="3" t="s">
        <v>277</v>
      </c>
      <c r="F233" t="s">
        <v>276</v>
      </c>
      <c r="G233" t="str">
        <f>CONCATENATE(D233,A233,E233,C233,F233)</f>
        <v>{"name":"Toilet facility used  (WIS)","xPos":2},</v>
      </c>
    </row>
    <row r="234" spans="1:7" x14ac:dyDescent="0.25">
      <c r="A234" t="s">
        <v>234</v>
      </c>
      <c r="B234">
        <v>232</v>
      </c>
      <c r="C234">
        <v>2</v>
      </c>
      <c r="D234" t="s">
        <v>275</v>
      </c>
      <c r="E234" s="3" t="s">
        <v>277</v>
      </c>
      <c r="F234" t="s">
        <v>276</v>
      </c>
      <c r="G234" t="str">
        <f>CONCATENATE(D234,A234,E234,C234,F234)</f>
        <v>{"name":"Main toilet facilty used (WIS)","xPos":2},</v>
      </c>
    </row>
    <row r="235" spans="1:7" x14ac:dyDescent="0.25">
      <c r="A235" t="s">
        <v>235</v>
      </c>
      <c r="B235">
        <v>233</v>
      </c>
      <c r="C235">
        <v>2</v>
      </c>
      <c r="D235" t="s">
        <v>275</v>
      </c>
      <c r="E235" s="3" t="s">
        <v>277</v>
      </c>
      <c r="F235" t="s">
        <v>276</v>
      </c>
      <c r="G235" t="str">
        <f>CONCATENATE(D235,A235,E235,C235,F235)</f>
        <v>{"name":"Frequency of toilet facilty usage (WIS)","xPos":2},</v>
      </c>
    </row>
    <row r="236" spans="1:7" x14ac:dyDescent="0.25">
      <c r="A236" t="s">
        <v>236</v>
      </c>
      <c r="B236">
        <v>234</v>
      </c>
      <c r="C236">
        <v>2</v>
      </c>
      <c r="D236" t="s">
        <v>275</v>
      </c>
      <c r="E236" s="3" t="s">
        <v>277</v>
      </c>
      <c r="F236" t="s">
        <v>276</v>
      </c>
      <c r="G236" t="str">
        <f>CONCATENATE(D236,A236,E236,C236,F236)</f>
        <v>{"name":"Toilet facilty sharing (WIS)","xPos":2},</v>
      </c>
    </row>
    <row r="237" spans="1:7" x14ac:dyDescent="0.25">
      <c r="A237" t="s">
        <v>237</v>
      </c>
      <c r="B237">
        <v>235</v>
      </c>
      <c r="C237">
        <v>2</v>
      </c>
      <c r="D237" t="s">
        <v>275</v>
      </c>
      <c r="E237" s="3" t="s">
        <v>277</v>
      </c>
      <c r="F237" t="s">
        <v>276</v>
      </c>
      <c r="G237" t="str">
        <f>CONCATENATE(D237,A237,E237,C237,F237)</f>
        <v>{"name":"Period of water source construction(UWASA)","xPos":2},</v>
      </c>
    </row>
    <row r="238" spans="1:7" x14ac:dyDescent="0.25">
      <c r="A238" t="s">
        <v>238</v>
      </c>
      <c r="B238">
        <v>236</v>
      </c>
      <c r="C238">
        <v>2</v>
      </c>
      <c r="D238" t="s">
        <v>275</v>
      </c>
      <c r="E238" s="3" t="s">
        <v>277</v>
      </c>
      <c r="F238" t="s">
        <v>276</v>
      </c>
      <c r="G238" t="str">
        <f>CONCATENATE(D238,A238,E238,C238,F238)</f>
        <v>{"name":"Source of funding for the water source(UWASA)","xPos":2},</v>
      </c>
    </row>
    <row r="239" spans="1:7" x14ac:dyDescent="0.25">
      <c r="A239" t="s">
        <v>239</v>
      </c>
      <c r="B239">
        <v>237</v>
      </c>
      <c r="C239">
        <v>2</v>
      </c>
      <c r="D239" t="s">
        <v>275</v>
      </c>
      <c r="E239" s="3" t="s">
        <v>277</v>
      </c>
      <c r="F239" t="s">
        <v>276</v>
      </c>
      <c r="G239" t="str">
        <f>CONCATENATE(D239,A239,E239,C239,F239)</f>
        <v>{"name":"Births registration (BDR)","xPos":2},</v>
      </c>
    </row>
    <row r="240" spans="1:7" x14ac:dyDescent="0.25">
      <c r="A240" t="s">
        <v>240</v>
      </c>
      <c r="B240">
        <v>238</v>
      </c>
      <c r="C240">
        <v>3</v>
      </c>
      <c r="D240" t="s">
        <v>275</v>
      </c>
      <c r="E240" s="3" t="s">
        <v>277</v>
      </c>
      <c r="F240" t="s">
        <v>276</v>
      </c>
      <c r="G240" t="str">
        <f>CONCATENATE(D240,A240,E240,C240,F240)</f>
        <v>{"name":" General economic, commercial and labour affairs","xPos":3},</v>
      </c>
    </row>
    <row r="241" spans="1:7" x14ac:dyDescent="0.25">
      <c r="A241" t="s">
        <v>241</v>
      </c>
      <c r="B241">
        <v>239</v>
      </c>
      <c r="C241">
        <v>3</v>
      </c>
      <c r="D241" t="s">
        <v>275</v>
      </c>
      <c r="E241" s="3" t="s">
        <v>277</v>
      </c>
      <c r="F241" t="s">
        <v>276</v>
      </c>
      <c r="G241" t="str">
        <f>CONCATENATE(D241,A241,E241,C241,F241)</f>
        <v>{"name":" Recreation, culture and religion","xPos":3},</v>
      </c>
    </row>
    <row r="242" spans="1:7" x14ac:dyDescent="0.25">
      <c r="A242" t="s">
        <v>242</v>
      </c>
      <c r="B242">
        <v>240</v>
      </c>
      <c r="C242">
        <v>3</v>
      </c>
      <c r="D242" t="s">
        <v>275</v>
      </c>
      <c r="E242" s="3" t="s">
        <v>277</v>
      </c>
      <c r="F242" t="s">
        <v>276</v>
      </c>
      <c r="G242" t="str">
        <f>CONCATENATE(D242,A242,E242,C242,F242)</f>
        <v>{"name":" Education","xPos":3},</v>
      </c>
    </row>
    <row r="243" spans="1:7" x14ac:dyDescent="0.25">
      <c r="A243" t="s">
        <v>240</v>
      </c>
      <c r="B243">
        <v>241</v>
      </c>
      <c r="C243">
        <v>3</v>
      </c>
      <c r="D243" t="s">
        <v>275</v>
      </c>
      <c r="E243" s="3" t="s">
        <v>277</v>
      </c>
      <c r="F243" t="s">
        <v>276</v>
      </c>
      <c r="G243" t="str">
        <f>CONCATENATE(D243,A243,E243,C243,F243)</f>
        <v>{"name":" General economic, commercial and labour affairs","xPos":3},</v>
      </c>
    </row>
    <row r="244" spans="1:7" x14ac:dyDescent="0.25">
      <c r="A244" t="s">
        <v>243</v>
      </c>
      <c r="B244">
        <v>242</v>
      </c>
      <c r="C244">
        <v>3</v>
      </c>
      <c r="D244" t="s">
        <v>275</v>
      </c>
      <c r="E244" s="3" t="s">
        <v>277</v>
      </c>
      <c r="F244" t="s">
        <v>276</v>
      </c>
      <c r="G244" t="str">
        <f>CONCATENATE(D244,A244,E244,C244,F244)</f>
        <v>{"name":" Economic affairs n.e.c.","xPos":3},</v>
      </c>
    </row>
    <row r="245" spans="1:7" x14ac:dyDescent="0.25">
      <c r="A245" t="s">
        <v>244</v>
      </c>
      <c r="B245">
        <v>243</v>
      </c>
      <c r="C245">
        <v>3</v>
      </c>
      <c r="D245" t="s">
        <v>275</v>
      </c>
      <c r="E245" s="3" t="s">
        <v>277</v>
      </c>
      <c r="F245" t="s">
        <v>276</v>
      </c>
      <c r="G245" t="str">
        <f>CONCATENATE(D245,A245,E245,C245,F245)</f>
        <v>{"name":" Public health services","xPos":3},</v>
      </c>
    </row>
    <row r="246" spans="1:7" x14ac:dyDescent="0.25">
      <c r="A246" t="s">
        <v>245</v>
      </c>
      <c r="B246">
        <v>244</v>
      </c>
      <c r="C246">
        <v>3</v>
      </c>
      <c r="D246" t="s">
        <v>275</v>
      </c>
      <c r="E246" s="3" t="s">
        <v>277</v>
      </c>
      <c r="F246" t="s">
        <v>276</v>
      </c>
      <c r="G246" t="str">
        <f>CONCATENATE(D246,A246,E246,C246,F246)</f>
        <v>{"name":" Water supply","xPos":3},</v>
      </c>
    </row>
    <row r="247" spans="1:7" x14ac:dyDescent="0.25">
      <c r="A247" t="s">
        <v>246</v>
      </c>
      <c r="B247">
        <v>245</v>
      </c>
      <c r="C247">
        <v>3</v>
      </c>
      <c r="D247" t="s">
        <v>275</v>
      </c>
      <c r="E247" s="3" t="s">
        <v>277</v>
      </c>
      <c r="F247" t="s">
        <v>276</v>
      </c>
      <c r="G247" t="str">
        <f>CONCATENATE(D247,A247,E247,C247,F247)</f>
        <v>{"name":" Waste management","xPos":3},</v>
      </c>
    </row>
    <row r="248" spans="1:7" x14ac:dyDescent="0.25">
      <c r="A248" t="s">
        <v>247</v>
      </c>
      <c r="B248">
        <v>246</v>
      </c>
      <c r="C248">
        <v>3</v>
      </c>
      <c r="D248" t="s">
        <v>275</v>
      </c>
      <c r="E248" s="3" t="s">
        <v>277</v>
      </c>
      <c r="F248" t="s">
        <v>276</v>
      </c>
      <c r="G248" t="str">
        <f>CONCATENATE(D248,A248,E248,C248,F248)</f>
        <v>{"name":" Communication","xPos":3},</v>
      </c>
    </row>
    <row r="249" spans="1:7" x14ac:dyDescent="0.25">
      <c r="A249" t="s">
        <v>248</v>
      </c>
      <c r="B249">
        <v>247</v>
      </c>
      <c r="C249">
        <v>3</v>
      </c>
      <c r="D249" t="s">
        <v>275</v>
      </c>
      <c r="E249" s="3" t="s">
        <v>277</v>
      </c>
      <c r="F249" t="s">
        <v>276</v>
      </c>
      <c r="G249" t="str">
        <f>CONCATENATE(D249,A249,E249,C249,F249)</f>
        <v>{"name":" Agriculture, forestry, fishing and hunting","xPos":3},</v>
      </c>
    </row>
    <row r="250" spans="1:7" x14ac:dyDescent="0.25">
      <c r="A250" t="s">
        <v>249</v>
      </c>
      <c r="B250">
        <v>248</v>
      </c>
      <c r="C250">
        <v>3</v>
      </c>
      <c r="D250" t="s">
        <v>275</v>
      </c>
      <c r="E250" s="3" t="s">
        <v>277</v>
      </c>
      <c r="F250" t="s">
        <v>276</v>
      </c>
      <c r="G250" t="str">
        <f>CONCATENATE(D250,A250,E250,C250,F250)</f>
        <v>{"name":" Medical products, appliances and equipment","xPos":3},</v>
      </c>
    </row>
    <row r="251" spans="1:7" x14ac:dyDescent="0.25">
      <c r="A251" t="s">
        <v>250</v>
      </c>
      <c r="B251">
        <v>249</v>
      </c>
      <c r="C251">
        <v>3</v>
      </c>
      <c r="D251" t="s">
        <v>275</v>
      </c>
      <c r="E251" s="3" t="s">
        <v>277</v>
      </c>
      <c r="F251" t="s">
        <v>276</v>
      </c>
      <c r="G251" t="str">
        <f>CONCATENATE(D251,A251,E251,C251,F251)</f>
        <v>{"name":" Health","xPos":3},</v>
      </c>
    </row>
    <row r="252" spans="1:7" x14ac:dyDescent="0.25">
      <c r="A252" t="s">
        <v>251</v>
      </c>
      <c r="B252">
        <v>250</v>
      </c>
      <c r="C252">
        <v>3</v>
      </c>
      <c r="D252" t="s">
        <v>275</v>
      </c>
      <c r="E252" s="3" t="s">
        <v>277</v>
      </c>
      <c r="F252" t="s">
        <v>276</v>
      </c>
      <c r="G252" t="str">
        <f>CONCATENATE(D252,A252,E252,C252,F252)</f>
        <v>{"name":" General services","xPos":3},</v>
      </c>
    </row>
    <row r="253" spans="1:7" x14ac:dyDescent="0.25">
      <c r="A253">
        <v>0</v>
      </c>
      <c r="B253">
        <v>251</v>
      </c>
      <c r="C253">
        <v>3</v>
      </c>
      <c r="D253" t="s">
        <v>275</v>
      </c>
      <c r="E253" s="3" t="s">
        <v>277</v>
      </c>
      <c r="F253" t="s">
        <v>276</v>
      </c>
      <c r="G253" t="str">
        <f>CONCATENATE(D253,A253,E253,C253,F253)</f>
        <v>{"name":"0","xPos":3},</v>
      </c>
    </row>
    <row r="254" spans="1:7" x14ac:dyDescent="0.25">
      <c r="A254" t="s">
        <v>252</v>
      </c>
      <c r="B254">
        <v>252</v>
      </c>
      <c r="C254">
        <v>3</v>
      </c>
      <c r="D254" t="s">
        <v>275</v>
      </c>
      <c r="E254" s="3" t="s">
        <v>277</v>
      </c>
      <c r="F254" t="s">
        <v>276</v>
      </c>
      <c r="G254" t="str">
        <f>CONCATENATE(D254,A254,E254,C254,F254)</f>
        <v>{"name":"Gender, Labour and Social Affairs","xPos":3},</v>
      </c>
    </row>
    <row r="255" spans="1:7" x14ac:dyDescent="0.25">
      <c r="A255" t="s">
        <v>253</v>
      </c>
      <c r="B255">
        <v>253</v>
      </c>
      <c r="C255">
        <v>3</v>
      </c>
      <c r="D255" t="s">
        <v>275</v>
      </c>
      <c r="E255" s="3" t="s">
        <v>277</v>
      </c>
      <c r="F255" t="s">
        <v>276</v>
      </c>
      <c r="G255" t="str">
        <f>CONCATENATE(D255,A255,E255,C255,F255)</f>
        <v>{"name":" Family and children","xPos":3},</v>
      </c>
    </row>
    <row r="256" spans="1:7" x14ac:dyDescent="0.25">
      <c r="A256" t="s">
        <v>254</v>
      </c>
      <c r="B256">
        <v>254</v>
      </c>
      <c r="C256">
        <v>4</v>
      </c>
      <c r="D256" t="s">
        <v>275</v>
      </c>
      <c r="E256" s="3" t="s">
        <v>277</v>
      </c>
      <c r="F256" t="s">
        <v>276</v>
      </c>
      <c r="G256" t="str">
        <f>CONCATENATE(D256,A256,E256,C256,F256)</f>
        <v>{"name":"National Housing and Population Census","xPos":4},</v>
      </c>
    </row>
    <row r="257" spans="1:7" x14ac:dyDescent="0.25">
      <c r="A257" t="s">
        <v>255</v>
      </c>
      <c r="B257">
        <v>255</v>
      </c>
      <c r="C257">
        <v>4</v>
      </c>
      <c r="D257" t="s">
        <v>275</v>
      </c>
      <c r="E257" s="3" t="s">
        <v>277</v>
      </c>
      <c r="F257" t="s">
        <v>276</v>
      </c>
      <c r="G257" t="str">
        <f>CONCATENATE(D257,A257,E257,C257,F257)</f>
        <v>{"name":"National Drug Authority Drug Register","xPos":4},</v>
      </c>
    </row>
    <row r="258" spans="1:7" x14ac:dyDescent="0.25">
      <c r="A258" t="s">
        <v>256</v>
      </c>
      <c r="B258">
        <v>256</v>
      </c>
      <c r="C258">
        <v>4</v>
      </c>
      <c r="D258" t="s">
        <v>275</v>
      </c>
      <c r="E258" s="3" t="s">
        <v>277</v>
      </c>
      <c r="F258" t="s">
        <v>276</v>
      </c>
      <c r="G258" t="str">
        <f>CONCATENATE(D258,A258,E258,C258,F258)</f>
        <v>{"name":"Community Service Database","xPos":4},</v>
      </c>
    </row>
    <row r="259" spans="1:7" x14ac:dyDescent="0.25">
      <c r="A259" t="s">
        <v>257</v>
      </c>
      <c r="B259">
        <v>257</v>
      </c>
      <c r="C259">
        <v>4</v>
      </c>
      <c r="D259" t="s">
        <v>275</v>
      </c>
      <c r="E259" s="3" t="s">
        <v>277</v>
      </c>
      <c r="F259" t="s">
        <v>276</v>
      </c>
      <c r="G259" t="str">
        <f>CONCATENATE(D259,A259,E259,C259,F259)</f>
        <v>{"name":"Voters' register","xPos":4},</v>
      </c>
    </row>
    <row r="260" spans="1:7" x14ac:dyDescent="0.25">
      <c r="A260" t="s">
        <v>258</v>
      </c>
      <c r="B260">
        <v>258</v>
      </c>
      <c r="C260">
        <v>4</v>
      </c>
      <c r="D260" t="s">
        <v>275</v>
      </c>
      <c r="E260" s="3" t="s">
        <v>277</v>
      </c>
      <c r="F260" t="s">
        <v>276</v>
      </c>
      <c r="G260" t="str">
        <f>CONCATENATE(D260,A260,E260,C260,F260)</f>
        <v>{"name":"Uganda Demographic and Health Survey","xPos":4},</v>
      </c>
    </row>
    <row r="261" spans="1:7" x14ac:dyDescent="0.25">
      <c r="A261" t="s">
        <v>259</v>
      </c>
      <c r="B261">
        <v>259</v>
      </c>
      <c r="C261">
        <v>4</v>
      </c>
      <c r="D261" t="s">
        <v>275</v>
      </c>
      <c r="E261" s="3" t="s">
        <v>277</v>
      </c>
      <c r="F261" t="s">
        <v>276</v>
      </c>
      <c r="G261" t="str">
        <f>CONCATENATE(D261,A261,E261,C261,F261)</f>
        <v>{"name":"Uganda Gender Based Violence Survey","xPos":4},</v>
      </c>
    </row>
    <row r="262" spans="1:7" x14ac:dyDescent="0.25">
      <c r="A262" t="s">
        <v>260</v>
      </c>
      <c r="B262">
        <v>260</v>
      </c>
      <c r="C262">
        <v>4</v>
      </c>
      <c r="D262" t="s">
        <v>275</v>
      </c>
      <c r="E262" s="3" t="s">
        <v>277</v>
      </c>
      <c r="F262" t="s">
        <v>276</v>
      </c>
      <c r="G262" t="str">
        <f>CONCATENATE(D262,A262,E262,C262,F262)</f>
        <v>{"name":" Infotrade Market Information Services","xPos":4},</v>
      </c>
    </row>
    <row r="263" spans="1:7" x14ac:dyDescent="0.25">
      <c r="A263" t="s">
        <v>261</v>
      </c>
      <c r="B263">
        <v>261</v>
      </c>
      <c r="C263">
        <v>4</v>
      </c>
      <c r="D263" t="s">
        <v>275</v>
      </c>
      <c r="E263" s="3" t="s">
        <v>277</v>
      </c>
      <c r="F263" t="s">
        <v>276</v>
      </c>
      <c r="G263" t="str">
        <f>CONCATENATE(D263,A263,E263,C263,F263)</f>
        <v>{"name":"Water Information System","xPos":4},</v>
      </c>
    </row>
    <row r="264" spans="1:7" x14ac:dyDescent="0.25">
      <c r="A264" t="s">
        <v>262</v>
      </c>
      <c r="B264">
        <v>262</v>
      </c>
      <c r="C264">
        <v>4</v>
      </c>
      <c r="D264" t="s">
        <v>275</v>
      </c>
      <c r="E264" s="3" t="s">
        <v>277</v>
      </c>
      <c r="F264" t="s">
        <v>276</v>
      </c>
      <c r="G264" t="str">
        <f>CONCATENATE(D264,A264,E264,C264,F264)</f>
        <v>{"name":"Uganda Water Supply Atlas","xPos":4},</v>
      </c>
    </row>
    <row r="265" spans="1:7" x14ac:dyDescent="0.25">
      <c r="A265" t="s">
        <v>263</v>
      </c>
      <c r="B265">
        <v>263</v>
      </c>
      <c r="C265">
        <v>4</v>
      </c>
      <c r="D265" t="s">
        <v>275</v>
      </c>
      <c r="E265" s="3" t="s">
        <v>277</v>
      </c>
      <c r="F265" t="s">
        <v>276</v>
      </c>
      <c r="G265" t="str">
        <f>CONCATENATE(D265,A265,E265,C265,F265)</f>
        <v>{"name":"Births and Deaths register","xPos":4},</v>
      </c>
    </row>
    <row r="266" spans="1:7" x14ac:dyDescent="0.25">
      <c r="A266" t="s">
        <v>264</v>
      </c>
      <c r="B266">
        <v>264</v>
      </c>
      <c r="C266">
        <v>5</v>
      </c>
      <c r="D266" t="s">
        <v>275</v>
      </c>
      <c r="E266" s="3" t="s">
        <v>277</v>
      </c>
      <c r="F266" t="s">
        <v>276</v>
      </c>
      <c r="G266" t="str">
        <f>CONCATENATE(D266,A266,E266,C266,F266)</f>
        <v>{"name":"Other administrative sources","xPos":5},</v>
      </c>
    </row>
    <row r="267" spans="1:7" x14ac:dyDescent="0.25">
      <c r="A267" t="s">
        <v>265</v>
      </c>
      <c r="B267">
        <v>265</v>
      </c>
      <c r="C267">
        <v>5</v>
      </c>
      <c r="D267" t="s">
        <v>275</v>
      </c>
      <c r="E267" s="3" t="s">
        <v>277</v>
      </c>
      <c r="F267" t="s">
        <v>276</v>
      </c>
      <c r="G267" t="str">
        <f>CONCATENATE(D267,A267,E267,C267,F267)</f>
        <v>{"name":"Business and agricultural surveys","xPos":5},</v>
      </c>
    </row>
    <row r="268" spans="1:7" x14ac:dyDescent="0.25">
      <c r="A268" t="s">
        <v>266</v>
      </c>
      <c r="B268">
        <v>266</v>
      </c>
      <c r="C268">
        <v>5</v>
      </c>
      <c r="D268" t="s">
        <v>275</v>
      </c>
      <c r="E268" s="3" t="s">
        <v>277</v>
      </c>
      <c r="F268" t="s">
        <v>276</v>
      </c>
      <c r="G268" t="str">
        <f>CONCATENATE(D268,A268,E268,C268,F268)</f>
        <v>{"name":"Remotely sensed data","xPos":5},</v>
      </c>
    </row>
    <row r="269" spans="1:7" x14ac:dyDescent="0.25">
      <c r="A269" t="s">
        <v>267</v>
      </c>
      <c r="B269">
        <v>267</v>
      </c>
      <c r="C269">
        <v>5</v>
      </c>
      <c r="D269" t="s">
        <v>275</v>
      </c>
      <c r="E269" s="3" t="s">
        <v>277</v>
      </c>
      <c r="F269" t="s">
        <v>276</v>
      </c>
      <c r="G269" t="str">
        <f>CONCATENATE(D269,A269,E269,C269,F269)</f>
        <v>{"name":"Population and housing censuses","xPos":5},</v>
      </c>
    </row>
    <row r="270" spans="1:7" x14ac:dyDescent="0.25">
      <c r="A270" t="s">
        <v>268</v>
      </c>
      <c r="B270">
        <v>268</v>
      </c>
      <c r="C270">
        <v>5</v>
      </c>
      <c r="D270" t="s">
        <v>275</v>
      </c>
      <c r="E270" s="3" t="s">
        <v>277</v>
      </c>
      <c r="F270" t="s">
        <v>276</v>
      </c>
      <c r="G270" t="str">
        <f>CONCATENATE(D270,A270,E270,C270,F270)</f>
        <v>{"name":"Business and agricultural censuses","xPos":5},</v>
      </c>
    </row>
    <row r="271" spans="1:7" x14ac:dyDescent="0.25">
      <c r="A271" t="s">
        <v>269</v>
      </c>
      <c r="B271">
        <v>269</v>
      </c>
      <c r="C271">
        <v>5</v>
      </c>
      <c r="D271" t="s">
        <v>275</v>
      </c>
      <c r="E271" s="3" t="s">
        <v>277</v>
      </c>
      <c r="F271" t="s">
        <v>276</v>
      </c>
      <c r="G271" t="str">
        <f>CONCATENATE(D271,A271,E271,C271,F271)</f>
        <v>{"name":"Household surveys","xPos":5},</v>
      </c>
    </row>
    <row r="272" spans="1:7" x14ac:dyDescent="0.25">
      <c r="A272" t="s">
        <v>270</v>
      </c>
      <c r="B272">
        <v>270</v>
      </c>
      <c r="C272">
        <v>5</v>
      </c>
      <c r="D272" t="s">
        <v>275</v>
      </c>
      <c r="E272" s="3" t="s">
        <v>277</v>
      </c>
      <c r="F272" t="s">
        <v>290</v>
      </c>
      <c r="G272" t="str">
        <f>CONCATENATE(D272,A272,E272,C272,F272)</f>
        <v>{"name":"Infotrade Market Information Services","xPos":5}</v>
      </c>
    </row>
    <row r="273" spans="7:7" x14ac:dyDescent="0.25">
      <c r="G273" t="s">
        <v>278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'[Copy of Ug DDA Data 01.08.2017 v3.0.1 4 Shaleen (003).xlsx]SDG Goals'!#REF!</xm:f>
          </x14:formula1>
          <xm:sqref>A3:B12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498"/>
  <sheetViews>
    <sheetView workbookViewId="0">
      <selection activeCell="M3" sqref="M3"/>
    </sheetView>
  </sheetViews>
  <sheetFormatPr defaultRowHeight="15" x14ac:dyDescent="0.25"/>
  <sheetData>
    <row r="1" spans="1:10" x14ac:dyDescent="0.25">
      <c r="A1" t="s">
        <v>272</v>
      </c>
      <c r="B1" t="s">
        <v>273</v>
      </c>
      <c r="C1" t="s">
        <v>271</v>
      </c>
      <c r="D1" t="s">
        <v>283</v>
      </c>
      <c r="E1" t="s">
        <v>284</v>
      </c>
      <c r="J1" t="s">
        <v>282</v>
      </c>
    </row>
    <row r="2" spans="1:10" x14ac:dyDescent="0.25">
      <c r="A2" t="s">
        <v>2</v>
      </c>
      <c r="B2" t="s">
        <v>3</v>
      </c>
      <c r="C2">
        <v>1</v>
      </c>
      <c r="D2">
        <f>betterSearch(A2,nodes!A:A,nodes!B:B)</f>
        <v>0</v>
      </c>
      <c r="E2">
        <f>betterSearch(B2,nodes!A:A,nodes!B:B)</f>
        <v>1</v>
      </c>
      <c r="F2" t="s">
        <v>279</v>
      </c>
      <c r="G2" t="s">
        <v>280</v>
      </c>
      <c r="H2" t="s">
        <v>281</v>
      </c>
      <c r="I2" t="s">
        <v>276</v>
      </c>
      <c r="J2" t="str">
        <f>CONCATENATE(F2,D2,G2,E2,H2,C2,I2)</f>
        <v>{"source":0,"target":1,"value":1},</v>
      </c>
    </row>
    <row r="3" spans="1:10" x14ac:dyDescent="0.25">
      <c r="A3" t="s">
        <v>2</v>
      </c>
      <c r="B3" t="s">
        <v>4</v>
      </c>
      <c r="C3">
        <v>1</v>
      </c>
      <c r="D3">
        <f>betterSearch(A3,nodes!A:A,nodes!B:B)</f>
        <v>0</v>
      </c>
      <c r="E3">
        <f>betterSearch(B3,nodes!A:A,nodes!B:B)</f>
        <v>2</v>
      </c>
      <c r="F3" t="s">
        <v>279</v>
      </c>
      <c r="G3" t="s">
        <v>280</v>
      </c>
      <c r="H3" t="s">
        <v>281</v>
      </c>
      <c r="I3" t="s">
        <v>276</v>
      </c>
      <c r="J3" t="str">
        <f t="shared" ref="J3:J66" si="0">CONCATENATE(F3,D3,G3,E3,H3,C3,I3)</f>
        <v>{"source":0,"target":2,"value":1},</v>
      </c>
    </row>
    <row r="4" spans="1:10" x14ac:dyDescent="0.25">
      <c r="A4" t="s">
        <v>2</v>
      </c>
      <c r="B4" t="s">
        <v>5</v>
      </c>
      <c r="C4">
        <v>1</v>
      </c>
      <c r="D4">
        <f>betterSearch(A4,nodes!A:A,nodes!B:B)</f>
        <v>0</v>
      </c>
      <c r="E4">
        <f>betterSearch(B4,nodes!A:A,nodes!B:B)</f>
        <v>3</v>
      </c>
      <c r="F4" t="s">
        <v>279</v>
      </c>
      <c r="G4" t="s">
        <v>280</v>
      </c>
      <c r="H4" t="s">
        <v>281</v>
      </c>
      <c r="I4" t="s">
        <v>276</v>
      </c>
      <c r="J4" t="str">
        <f t="shared" si="0"/>
        <v>{"source":0,"target":3,"value":1},</v>
      </c>
    </row>
    <row r="5" spans="1:10" x14ac:dyDescent="0.25">
      <c r="A5" t="s">
        <v>2</v>
      </c>
      <c r="B5" t="s">
        <v>6</v>
      </c>
      <c r="C5">
        <v>1</v>
      </c>
      <c r="D5">
        <f>betterSearch(A5,nodes!A:A,nodes!B:B)</f>
        <v>0</v>
      </c>
      <c r="E5">
        <f>betterSearch(B5,nodes!A:A,nodes!B:B)</f>
        <v>4</v>
      </c>
      <c r="F5" t="s">
        <v>279</v>
      </c>
      <c r="G5" t="s">
        <v>280</v>
      </c>
      <c r="H5" t="s">
        <v>281</v>
      </c>
      <c r="I5" t="s">
        <v>276</v>
      </c>
      <c r="J5" t="str">
        <f t="shared" si="0"/>
        <v>{"source":0,"target":4,"value":1},</v>
      </c>
    </row>
    <row r="6" spans="1:10" x14ac:dyDescent="0.25">
      <c r="A6" t="s">
        <v>2</v>
      </c>
      <c r="B6" t="s">
        <v>7</v>
      </c>
      <c r="C6">
        <v>1</v>
      </c>
      <c r="D6">
        <f>betterSearch(A6,nodes!A:A,nodes!B:B)</f>
        <v>0</v>
      </c>
      <c r="E6">
        <f>betterSearch(B6,nodes!A:A,nodes!B:B)</f>
        <v>5</v>
      </c>
      <c r="F6" t="s">
        <v>279</v>
      </c>
      <c r="G6" t="s">
        <v>280</v>
      </c>
      <c r="H6" t="s">
        <v>281</v>
      </c>
      <c r="I6" t="s">
        <v>276</v>
      </c>
      <c r="J6" t="str">
        <f t="shared" si="0"/>
        <v>{"source":0,"target":5,"value":1},</v>
      </c>
    </row>
    <row r="7" spans="1:10" x14ac:dyDescent="0.25">
      <c r="A7" t="s">
        <v>2</v>
      </c>
      <c r="B7" t="s">
        <v>8</v>
      </c>
      <c r="C7">
        <v>1</v>
      </c>
      <c r="D7">
        <f>betterSearch(A7,nodes!A:A,nodes!B:B)</f>
        <v>0</v>
      </c>
      <c r="E7">
        <f>betterSearch(B7,nodes!A:A,nodes!B:B)</f>
        <v>6</v>
      </c>
      <c r="F7" t="s">
        <v>279</v>
      </c>
      <c r="G7" t="s">
        <v>280</v>
      </c>
      <c r="H7" t="s">
        <v>281</v>
      </c>
      <c r="I7" t="s">
        <v>276</v>
      </c>
      <c r="J7" t="str">
        <f t="shared" si="0"/>
        <v>{"source":0,"target":6,"value":1},</v>
      </c>
    </row>
    <row r="8" spans="1:10" x14ac:dyDescent="0.25">
      <c r="A8" t="s">
        <v>2</v>
      </c>
      <c r="B8" t="s">
        <v>9</v>
      </c>
      <c r="C8">
        <v>1</v>
      </c>
      <c r="D8">
        <f>betterSearch(A8,nodes!A:A,nodes!B:B)</f>
        <v>0</v>
      </c>
      <c r="E8">
        <f>betterSearch(B8,nodes!A:A,nodes!B:B)</f>
        <v>7</v>
      </c>
      <c r="F8" t="s">
        <v>279</v>
      </c>
      <c r="G8" t="s">
        <v>280</v>
      </c>
      <c r="H8" t="s">
        <v>281</v>
      </c>
      <c r="I8" t="s">
        <v>276</v>
      </c>
      <c r="J8" t="str">
        <f t="shared" si="0"/>
        <v>{"source":0,"target":7,"value":1},</v>
      </c>
    </row>
    <row r="9" spans="1:10" x14ac:dyDescent="0.25">
      <c r="A9" t="s">
        <v>2</v>
      </c>
      <c r="B9" t="s">
        <v>10</v>
      </c>
      <c r="C9">
        <v>1</v>
      </c>
      <c r="D9">
        <f>betterSearch(A9,nodes!A:A,nodes!B:B)</f>
        <v>0</v>
      </c>
      <c r="E9">
        <f>betterSearch(B9,nodes!A:A,nodes!B:B)</f>
        <v>8</v>
      </c>
      <c r="F9" t="s">
        <v>279</v>
      </c>
      <c r="G9" t="s">
        <v>280</v>
      </c>
      <c r="H9" t="s">
        <v>281</v>
      </c>
      <c r="I9" t="s">
        <v>276</v>
      </c>
      <c r="J9" t="str">
        <f t="shared" si="0"/>
        <v>{"source":0,"target":8,"value":1},</v>
      </c>
    </row>
    <row r="10" spans="1:10" x14ac:dyDescent="0.25">
      <c r="A10" t="s">
        <v>2</v>
      </c>
      <c r="B10" t="s">
        <v>11</v>
      </c>
      <c r="C10">
        <v>1</v>
      </c>
      <c r="D10">
        <f>betterSearch(A10,nodes!A:A,nodes!B:B)</f>
        <v>0</v>
      </c>
      <c r="E10">
        <f>betterSearch(B10,nodes!A:A,nodes!B:B)</f>
        <v>9</v>
      </c>
      <c r="F10" t="s">
        <v>279</v>
      </c>
      <c r="G10" t="s">
        <v>280</v>
      </c>
      <c r="H10" t="s">
        <v>281</v>
      </c>
      <c r="I10" t="s">
        <v>276</v>
      </c>
      <c r="J10" t="str">
        <f t="shared" si="0"/>
        <v>{"source":0,"target":9,"value":1},</v>
      </c>
    </row>
    <row r="11" spans="1:10" x14ac:dyDescent="0.25">
      <c r="A11" t="s">
        <v>2</v>
      </c>
      <c r="B11" t="s">
        <v>12</v>
      </c>
      <c r="C11">
        <v>1</v>
      </c>
      <c r="D11">
        <f>betterSearch(A11,nodes!A:A,nodes!B:B)</f>
        <v>0</v>
      </c>
      <c r="E11">
        <f>betterSearch(B11,nodes!A:A,nodes!B:B)</f>
        <v>10</v>
      </c>
      <c r="F11" t="s">
        <v>279</v>
      </c>
      <c r="G11" t="s">
        <v>280</v>
      </c>
      <c r="H11" t="s">
        <v>281</v>
      </c>
      <c r="I11" t="s">
        <v>276</v>
      </c>
      <c r="J11" t="str">
        <f t="shared" si="0"/>
        <v>{"source":0,"target":10,"value":1},</v>
      </c>
    </row>
    <row r="12" spans="1:10" x14ac:dyDescent="0.25">
      <c r="A12" t="s">
        <v>2</v>
      </c>
      <c r="B12" t="s">
        <v>13</v>
      </c>
      <c r="C12">
        <v>1</v>
      </c>
      <c r="D12">
        <f>betterSearch(A12,nodes!A:A,nodes!B:B)</f>
        <v>0</v>
      </c>
      <c r="E12">
        <f>betterSearch(B12,nodes!A:A,nodes!B:B)</f>
        <v>11</v>
      </c>
      <c r="F12" t="s">
        <v>279</v>
      </c>
      <c r="G12" t="s">
        <v>280</v>
      </c>
      <c r="H12" t="s">
        <v>281</v>
      </c>
      <c r="I12" t="s">
        <v>276</v>
      </c>
      <c r="J12" t="str">
        <f t="shared" si="0"/>
        <v>{"source":0,"target":11,"value":1},</v>
      </c>
    </row>
    <row r="13" spans="1:10" x14ac:dyDescent="0.25">
      <c r="A13" t="s">
        <v>2</v>
      </c>
      <c r="B13" t="s">
        <v>14</v>
      </c>
      <c r="C13">
        <v>1</v>
      </c>
      <c r="D13">
        <f>betterSearch(A13,nodes!A:A,nodes!B:B)</f>
        <v>0</v>
      </c>
      <c r="E13">
        <f>betterSearch(B13,nodes!A:A,nodes!B:B)</f>
        <v>12</v>
      </c>
      <c r="F13" t="s">
        <v>279</v>
      </c>
      <c r="G13" t="s">
        <v>280</v>
      </c>
      <c r="H13" t="s">
        <v>281</v>
      </c>
      <c r="I13" t="s">
        <v>276</v>
      </c>
      <c r="J13" t="str">
        <f t="shared" si="0"/>
        <v>{"source":0,"target":12,"value":1},</v>
      </c>
    </row>
    <row r="14" spans="1:10" x14ac:dyDescent="0.25">
      <c r="A14" t="s">
        <v>2</v>
      </c>
      <c r="B14" t="s">
        <v>15</v>
      </c>
      <c r="C14">
        <v>1</v>
      </c>
      <c r="D14">
        <f>betterSearch(A14,nodes!A:A,nodes!B:B)</f>
        <v>0</v>
      </c>
      <c r="E14">
        <f>betterSearch(B14,nodes!A:A,nodes!B:B)</f>
        <v>13</v>
      </c>
      <c r="F14" t="s">
        <v>279</v>
      </c>
      <c r="G14" t="s">
        <v>280</v>
      </c>
      <c r="H14" t="s">
        <v>281</v>
      </c>
      <c r="I14" t="s">
        <v>276</v>
      </c>
      <c r="J14" t="str">
        <f t="shared" si="0"/>
        <v>{"source":0,"target":13,"value":1},</v>
      </c>
    </row>
    <row r="15" spans="1:10" x14ac:dyDescent="0.25">
      <c r="A15" t="s">
        <v>2</v>
      </c>
      <c r="B15" t="s">
        <v>16</v>
      </c>
      <c r="C15">
        <v>1</v>
      </c>
      <c r="D15">
        <f>betterSearch(A15,nodes!A:A,nodes!B:B)</f>
        <v>0</v>
      </c>
      <c r="E15">
        <f>betterSearch(B15,nodes!A:A,nodes!B:B)</f>
        <v>14</v>
      </c>
      <c r="F15" t="s">
        <v>279</v>
      </c>
      <c r="G15" t="s">
        <v>280</v>
      </c>
      <c r="H15" t="s">
        <v>281</v>
      </c>
      <c r="I15" t="s">
        <v>276</v>
      </c>
      <c r="J15" t="str">
        <f t="shared" si="0"/>
        <v>{"source":0,"target":14,"value":1},</v>
      </c>
    </row>
    <row r="16" spans="1:10" x14ac:dyDescent="0.25">
      <c r="A16" t="s">
        <v>2</v>
      </c>
      <c r="B16" t="s">
        <v>17</v>
      </c>
      <c r="C16">
        <v>1</v>
      </c>
      <c r="D16">
        <f>betterSearch(A16,nodes!A:A,nodes!B:B)</f>
        <v>0</v>
      </c>
      <c r="E16">
        <f>betterSearch(B16,nodes!A:A,nodes!B:B)</f>
        <v>15</v>
      </c>
      <c r="F16" t="s">
        <v>279</v>
      </c>
      <c r="G16" t="s">
        <v>280</v>
      </c>
      <c r="H16" t="s">
        <v>281</v>
      </c>
      <c r="I16" t="s">
        <v>276</v>
      </c>
      <c r="J16" t="str">
        <f t="shared" si="0"/>
        <v>{"source":0,"target":15,"value":1},</v>
      </c>
    </row>
    <row r="17" spans="1:10" x14ac:dyDescent="0.25">
      <c r="A17" t="s">
        <v>2</v>
      </c>
      <c r="B17" t="s">
        <v>18</v>
      </c>
      <c r="C17">
        <v>1</v>
      </c>
      <c r="D17">
        <f>betterSearch(A17,nodes!A:A,nodes!B:B)</f>
        <v>0</v>
      </c>
      <c r="E17">
        <f>betterSearch(B17,nodes!A:A,nodes!B:B)</f>
        <v>16</v>
      </c>
      <c r="F17" t="s">
        <v>279</v>
      </c>
      <c r="G17" t="s">
        <v>280</v>
      </c>
      <c r="H17" t="s">
        <v>281</v>
      </c>
      <c r="I17" t="s">
        <v>276</v>
      </c>
      <c r="J17" t="str">
        <f t="shared" si="0"/>
        <v>{"source":0,"target":16,"value":1},</v>
      </c>
    </row>
    <row r="18" spans="1:10" x14ac:dyDescent="0.25">
      <c r="A18" t="s">
        <v>2</v>
      </c>
      <c r="B18" t="s">
        <v>19</v>
      </c>
      <c r="C18">
        <v>1</v>
      </c>
      <c r="D18">
        <f>betterSearch(A18,nodes!A:A,nodes!B:B)</f>
        <v>0</v>
      </c>
      <c r="E18">
        <f>betterSearch(B18,nodes!A:A,nodes!B:B)</f>
        <v>17</v>
      </c>
      <c r="F18" t="s">
        <v>279</v>
      </c>
      <c r="G18" t="s">
        <v>280</v>
      </c>
      <c r="H18" t="s">
        <v>281</v>
      </c>
      <c r="I18" t="s">
        <v>276</v>
      </c>
      <c r="J18" t="str">
        <f t="shared" si="0"/>
        <v>{"source":0,"target":17,"value":1},</v>
      </c>
    </row>
    <row r="19" spans="1:10" x14ac:dyDescent="0.25">
      <c r="A19" t="s">
        <v>2</v>
      </c>
      <c r="B19" t="s">
        <v>20</v>
      </c>
      <c r="C19">
        <v>1</v>
      </c>
      <c r="D19">
        <f>betterSearch(A19,nodes!A:A,nodes!B:B)</f>
        <v>0</v>
      </c>
      <c r="E19">
        <f>betterSearch(B19,nodes!A:A,nodes!B:B)</f>
        <v>18</v>
      </c>
      <c r="F19" t="s">
        <v>279</v>
      </c>
      <c r="G19" t="s">
        <v>280</v>
      </c>
      <c r="H19" t="s">
        <v>281</v>
      </c>
      <c r="I19" t="s">
        <v>276</v>
      </c>
      <c r="J19" t="str">
        <f t="shared" si="0"/>
        <v>{"source":0,"target":18,"value":1},</v>
      </c>
    </row>
    <row r="20" spans="1:10" x14ac:dyDescent="0.25">
      <c r="A20" t="s">
        <v>2</v>
      </c>
      <c r="B20" t="s">
        <v>21</v>
      </c>
      <c r="C20">
        <v>1</v>
      </c>
      <c r="D20">
        <f>betterSearch(A20,nodes!A:A,nodes!B:B)</f>
        <v>0</v>
      </c>
      <c r="E20">
        <f>betterSearch(B20,nodes!A:A,nodes!B:B)</f>
        <v>19</v>
      </c>
      <c r="F20" t="s">
        <v>279</v>
      </c>
      <c r="G20" t="s">
        <v>280</v>
      </c>
      <c r="H20" t="s">
        <v>281</v>
      </c>
      <c r="I20" t="s">
        <v>276</v>
      </c>
      <c r="J20" t="str">
        <f t="shared" si="0"/>
        <v>{"source":0,"target":19,"value":1},</v>
      </c>
    </row>
    <row r="21" spans="1:10" x14ac:dyDescent="0.25">
      <c r="A21" t="s">
        <v>2</v>
      </c>
      <c r="B21" t="s">
        <v>22</v>
      </c>
      <c r="C21">
        <v>1</v>
      </c>
      <c r="D21">
        <f>betterSearch(A21,nodes!A:A,nodes!B:B)</f>
        <v>0</v>
      </c>
      <c r="E21">
        <f>betterSearch(B21,nodes!A:A,nodes!B:B)</f>
        <v>20</v>
      </c>
      <c r="F21" t="s">
        <v>279</v>
      </c>
      <c r="G21" t="s">
        <v>280</v>
      </c>
      <c r="H21" t="s">
        <v>281</v>
      </c>
      <c r="I21" t="s">
        <v>276</v>
      </c>
      <c r="J21" t="str">
        <f t="shared" si="0"/>
        <v>{"source":0,"target":20,"value":1},</v>
      </c>
    </row>
    <row r="22" spans="1:10" x14ac:dyDescent="0.25">
      <c r="A22" t="s">
        <v>2</v>
      </c>
      <c r="B22" t="s">
        <v>23</v>
      </c>
      <c r="C22">
        <v>1</v>
      </c>
      <c r="D22">
        <f>betterSearch(A22,nodes!A:A,nodes!B:B)</f>
        <v>0</v>
      </c>
      <c r="E22">
        <f>betterSearch(B22,nodes!A:A,nodes!B:B)</f>
        <v>21</v>
      </c>
      <c r="F22" t="s">
        <v>279</v>
      </c>
      <c r="G22" t="s">
        <v>280</v>
      </c>
      <c r="H22" t="s">
        <v>281</v>
      </c>
      <c r="I22" t="s">
        <v>276</v>
      </c>
      <c r="J22" t="str">
        <f t="shared" si="0"/>
        <v>{"source":0,"target":21,"value":1},</v>
      </c>
    </row>
    <row r="23" spans="1:10" x14ac:dyDescent="0.25">
      <c r="A23" t="s">
        <v>2</v>
      </c>
      <c r="B23" t="s">
        <v>24</v>
      </c>
      <c r="C23">
        <v>1</v>
      </c>
      <c r="D23">
        <f>betterSearch(A23,nodes!A:A,nodes!B:B)</f>
        <v>0</v>
      </c>
      <c r="E23">
        <f>betterSearch(B23,nodes!A:A,nodes!B:B)</f>
        <v>22</v>
      </c>
      <c r="F23" t="s">
        <v>279</v>
      </c>
      <c r="G23" t="s">
        <v>280</v>
      </c>
      <c r="H23" t="s">
        <v>281</v>
      </c>
      <c r="I23" t="s">
        <v>276</v>
      </c>
      <c r="J23" t="str">
        <f t="shared" si="0"/>
        <v>{"source":0,"target":22,"value":1},</v>
      </c>
    </row>
    <row r="24" spans="1:10" x14ac:dyDescent="0.25">
      <c r="A24" t="s">
        <v>2</v>
      </c>
      <c r="B24" t="s">
        <v>25</v>
      </c>
      <c r="C24">
        <v>1</v>
      </c>
      <c r="D24">
        <f>betterSearch(A24,nodes!A:A,nodes!B:B)</f>
        <v>0</v>
      </c>
      <c r="E24">
        <f>betterSearch(B24,nodes!A:A,nodes!B:B)</f>
        <v>23</v>
      </c>
      <c r="F24" t="s">
        <v>279</v>
      </c>
      <c r="G24" t="s">
        <v>280</v>
      </c>
      <c r="H24" t="s">
        <v>281</v>
      </c>
      <c r="I24" t="s">
        <v>276</v>
      </c>
      <c r="J24" t="str">
        <f t="shared" si="0"/>
        <v>{"source":0,"target":23,"value":1},</v>
      </c>
    </row>
    <row r="25" spans="1:10" x14ac:dyDescent="0.25">
      <c r="A25" t="s">
        <v>2</v>
      </c>
      <c r="B25" t="s">
        <v>26</v>
      </c>
      <c r="C25">
        <v>1</v>
      </c>
      <c r="D25">
        <f>betterSearch(A25,nodes!A:A,nodes!B:B)</f>
        <v>0</v>
      </c>
      <c r="E25">
        <f>betterSearch(B25,nodes!A:A,nodes!B:B)</f>
        <v>24</v>
      </c>
      <c r="F25" t="s">
        <v>279</v>
      </c>
      <c r="G25" t="s">
        <v>280</v>
      </c>
      <c r="H25" t="s">
        <v>281</v>
      </c>
      <c r="I25" t="s">
        <v>276</v>
      </c>
      <c r="J25" t="str">
        <f t="shared" si="0"/>
        <v>{"source":0,"target":24,"value":1},</v>
      </c>
    </row>
    <row r="26" spans="1:10" x14ac:dyDescent="0.25">
      <c r="A26" t="s">
        <v>2</v>
      </c>
      <c r="B26" t="s">
        <v>27</v>
      </c>
      <c r="C26">
        <v>1</v>
      </c>
      <c r="D26">
        <f>betterSearch(A26,nodes!A:A,nodes!B:B)</f>
        <v>0</v>
      </c>
      <c r="E26">
        <f>betterSearch(B26,nodes!A:A,nodes!B:B)</f>
        <v>25</v>
      </c>
      <c r="F26" t="s">
        <v>279</v>
      </c>
      <c r="G26" t="s">
        <v>280</v>
      </c>
      <c r="H26" t="s">
        <v>281</v>
      </c>
      <c r="I26" t="s">
        <v>276</v>
      </c>
      <c r="J26" t="str">
        <f t="shared" si="0"/>
        <v>{"source":0,"target":25,"value":1},</v>
      </c>
    </row>
    <row r="27" spans="1:10" x14ac:dyDescent="0.25">
      <c r="A27" t="s">
        <v>2</v>
      </c>
      <c r="B27" t="s">
        <v>28</v>
      </c>
      <c r="C27">
        <v>1</v>
      </c>
      <c r="D27">
        <f>betterSearch(A27,nodes!A:A,nodes!B:B)</f>
        <v>0</v>
      </c>
      <c r="E27">
        <f>betterSearch(B27,nodes!A:A,nodes!B:B)</f>
        <v>26</v>
      </c>
      <c r="F27" t="s">
        <v>279</v>
      </c>
      <c r="G27" t="s">
        <v>280</v>
      </c>
      <c r="H27" t="s">
        <v>281</v>
      </c>
      <c r="I27" t="s">
        <v>276</v>
      </c>
      <c r="J27" t="str">
        <f t="shared" si="0"/>
        <v>{"source":0,"target":26,"value":1},</v>
      </c>
    </row>
    <row r="28" spans="1:10" x14ac:dyDescent="0.25">
      <c r="A28" t="s">
        <v>2</v>
      </c>
      <c r="B28" t="s">
        <v>29</v>
      </c>
      <c r="C28">
        <v>1</v>
      </c>
      <c r="D28">
        <f>betterSearch(A28,nodes!A:A,nodes!B:B)</f>
        <v>0</v>
      </c>
      <c r="E28">
        <f>betterSearch(B28,nodes!A:A,nodes!B:B)</f>
        <v>27</v>
      </c>
      <c r="F28" t="s">
        <v>279</v>
      </c>
      <c r="G28" t="s">
        <v>280</v>
      </c>
      <c r="H28" t="s">
        <v>281</v>
      </c>
      <c r="I28" t="s">
        <v>276</v>
      </c>
      <c r="J28" t="str">
        <f t="shared" si="0"/>
        <v>{"source":0,"target":27,"value":1},</v>
      </c>
    </row>
    <row r="29" spans="1:10" x14ac:dyDescent="0.25">
      <c r="A29" t="s">
        <v>2</v>
      </c>
      <c r="B29" t="s">
        <v>30</v>
      </c>
      <c r="C29">
        <v>1</v>
      </c>
      <c r="D29">
        <f>betterSearch(A29,nodes!A:A,nodes!B:B)</f>
        <v>0</v>
      </c>
      <c r="E29">
        <f>betterSearch(B29,nodes!A:A,nodes!B:B)</f>
        <v>28</v>
      </c>
      <c r="F29" t="s">
        <v>279</v>
      </c>
      <c r="G29" t="s">
        <v>280</v>
      </c>
      <c r="H29" t="s">
        <v>281</v>
      </c>
      <c r="I29" t="s">
        <v>276</v>
      </c>
      <c r="J29" t="str">
        <f t="shared" si="0"/>
        <v>{"source":0,"target":28,"value":1},</v>
      </c>
    </row>
    <row r="30" spans="1:10" x14ac:dyDescent="0.25">
      <c r="A30" t="s">
        <v>2</v>
      </c>
      <c r="B30" t="s">
        <v>31</v>
      </c>
      <c r="C30">
        <v>1</v>
      </c>
      <c r="D30">
        <f>betterSearch(A30,nodes!A:A,nodes!B:B)</f>
        <v>0</v>
      </c>
      <c r="E30">
        <f>betterSearch(B30,nodes!A:A,nodes!B:B)</f>
        <v>29</v>
      </c>
      <c r="F30" t="s">
        <v>279</v>
      </c>
      <c r="G30" t="s">
        <v>280</v>
      </c>
      <c r="H30" t="s">
        <v>281</v>
      </c>
      <c r="I30" t="s">
        <v>276</v>
      </c>
      <c r="J30" t="str">
        <f t="shared" si="0"/>
        <v>{"source":0,"target":29,"value":1},</v>
      </c>
    </row>
    <row r="31" spans="1:10" x14ac:dyDescent="0.25">
      <c r="A31" t="s">
        <v>2</v>
      </c>
      <c r="B31" t="s">
        <v>32</v>
      </c>
      <c r="C31">
        <v>1</v>
      </c>
      <c r="D31">
        <f>betterSearch(A31,nodes!A:A,nodes!B:B)</f>
        <v>0</v>
      </c>
      <c r="E31">
        <f>betterSearch(B31,nodes!A:A,nodes!B:B)</f>
        <v>30</v>
      </c>
      <c r="F31" t="s">
        <v>279</v>
      </c>
      <c r="G31" t="s">
        <v>280</v>
      </c>
      <c r="H31" t="s">
        <v>281</v>
      </c>
      <c r="I31" t="s">
        <v>276</v>
      </c>
      <c r="J31" t="str">
        <f t="shared" si="0"/>
        <v>{"source":0,"target":30,"value":1},</v>
      </c>
    </row>
    <row r="32" spans="1:10" x14ac:dyDescent="0.25">
      <c r="A32" t="s">
        <v>2</v>
      </c>
      <c r="B32" t="s">
        <v>33</v>
      </c>
      <c r="C32">
        <v>1</v>
      </c>
      <c r="D32">
        <f>betterSearch(A32,nodes!A:A,nodes!B:B)</f>
        <v>0</v>
      </c>
      <c r="E32">
        <f>betterSearch(B32,nodes!A:A,nodes!B:B)</f>
        <v>31</v>
      </c>
      <c r="F32" t="s">
        <v>279</v>
      </c>
      <c r="G32" t="s">
        <v>280</v>
      </c>
      <c r="H32" t="s">
        <v>281</v>
      </c>
      <c r="I32" t="s">
        <v>276</v>
      </c>
      <c r="J32" t="str">
        <f t="shared" si="0"/>
        <v>{"source":0,"target":31,"value":1},</v>
      </c>
    </row>
    <row r="33" spans="1:10" x14ac:dyDescent="0.25">
      <c r="A33" t="s">
        <v>2</v>
      </c>
      <c r="B33" t="s">
        <v>34</v>
      </c>
      <c r="C33">
        <v>1</v>
      </c>
      <c r="D33">
        <f>betterSearch(A33,nodes!A:A,nodes!B:B)</f>
        <v>0</v>
      </c>
      <c r="E33">
        <f>betterSearch(B33,nodes!A:A,nodes!B:B)</f>
        <v>32</v>
      </c>
      <c r="F33" t="s">
        <v>279</v>
      </c>
      <c r="G33" t="s">
        <v>280</v>
      </c>
      <c r="H33" t="s">
        <v>281</v>
      </c>
      <c r="I33" t="s">
        <v>276</v>
      </c>
      <c r="J33" t="str">
        <f t="shared" si="0"/>
        <v>{"source":0,"target":32,"value":1},</v>
      </c>
    </row>
    <row r="34" spans="1:10" x14ac:dyDescent="0.25">
      <c r="A34" t="s">
        <v>2</v>
      </c>
      <c r="B34" t="s">
        <v>35</v>
      </c>
      <c r="C34">
        <v>1</v>
      </c>
      <c r="D34">
        <f>betterSearch(A34,nodes!A:A,nodes!B:B)</f>
        <v>0</v>
      </c>
      <c r="E34">
        <f>betterSearch(B34,nodes!A:A,nodes!B:B)</f>
        <v>33</v>
      </c>
      <c r="F34" t="s">
        <v>279</v>
      </c>
      <c r="G34" t="s">
        <v>280</v>
      </c>
      <c r="H34" t="s">
        <v>281</v>
      </c>
      <c r="I34" t="s">
        <v>276</v>
      </c>
      <c r="J34" t="str">
        <f t="shared" si="0"/>
        <v>{"source":0,"target":33,"value":1},</v>
      </c>
    </row>
    <row r="35" spans="1:10" x14ac:dyDescent="0.25">
      <c r="A35" t="s">
        <v>2</v>
      </c>
      <c r="B35" t="s">
        <v>36</v>
      </c>
      <c r="C35">
        <v>1</v>
      </c>
      <c r="D35">
        <f>betterSearch(A35,nodes!A:A,nodes!B:B)</f>
        <v>0</v>
      </c>
      <c r="E35">
        <f>betterSearch(B35,nodes!A:A,nodes!B:B)</f>
        <v>34</v>
      </c>
      <c r="F35" t="s">
        <v>279</v>
      </c>
      <c r="G35" t="s">
        <v>280</v>
      </c>
      <c r="H35" t="s">
        <v>281</v>
      </c>
      <c r="I35" t="s">
        <v>276</v>
      </c>
      <c r="J35" t="str">
        <f t="shared" si="0"/>
        <v>{"source":0,"target":34,"value":1},</v>
      </c>
    </row>
    <row r="36" spans="1:10" x14ac:dyDescent="0.25">
      <c r="A36" t="s">
        <v>2</v>
      </c>
      <c r="B36" t="s">
        <v>37</v>
      </c>
      <c r="C36">
        <v>1</v>
      </c>
      <c r="D36">
        <f>betterSearch(A36,nodes!A:A,nodes!B:B)</f>
        <v>0</v>
      </c>
      <c r="E36">
        <f>betterSearch(B36,nodes!A:A,nodes!B:B)</f>
        <v>35</v>
      </c>
      <c r="F36" t="s">
        <v>279</v>
      </c>
      <c r="G36" t="s">
        <v>280</v>
      </c>
      <c r="H36" t="s">
        <v>281</v>
      </c>
      <c r="I36" t="s">
        <v>276</v>
      </c>
      <c r="J36" t="str">
        <f t="shared" si="0"/>
        <v>{"source":0,"target":35,"value":1},</v>
      </c>
    </row>
    <row r="37" spans="1:10" x14ac:dyDescent="0.25">
      <c r="A37" t="s">
        <v>2</v>
      </c>
      <c r="B37" t="s">
        <v>38</v>
      </c>
      <c r="C37">
        <v>1</v>
      </c>
      <c r="D37">
        <f>betterSearch(A37,nodes!A:A,nodes!B:B)</f>
        <v>0</v>
      </c>
      <c r="E37">
        <f>betterSearch(B37,nodes!A:A,nodes!B:B)</f>
        <v>36</v>
      </c>
      <c r="F37" t="s">
        <v>279</v>
      </c>
      <c r="G37" t="s">
        <v>280</v>
      </c>
      <c r="H37" t="s">
        <v>281</v>
      </c>
      <c r="I37" t="s">
        <v>276</v>
      </c>
      <c r="J37" t="str">
        <f t="shared" si="0"/>
        <v>{"source":0,"target":36,"value":1},</v>
      </c>
    </row>
    <row r="38" spans="1:10" x14ac:dyDescent="0.25">
      <c r="A38" t="s">
        <v>2</v>
      </c>
      <c r="B38" t="s">
        <v>39</v>
      </c>
      <c r="C38">
        <v>1</v>
      </c>
      <c r="D38">
        <f>betterSearch(A38,nodes!A:A,nodes!B:B)</f>
        <v>0</v>
      </c>
      <c r="E38">
        <f>betterSearch(B38,nodes!A:A,nodes!B:B)</f>
        <v>37</v>
      </c>
      <c r="F38" t="s">
        <v>279</v>
      </c>
      <c r="G38" t="s">
        <v>280</v>
      </c>
      <c r="H38" t="s">
        <v>281</v>
      </c>
      <c r="I38" t="s">
        <v>276</v>
      </c>
      <c r="J38" t="str">
        <f t="shared" si="0"/>
        <v>{"source":0,"target":37,"value":1},</v>
      </c>
    </row>
    <row r="39" spans="1:10" x14ac:dyDescent="0.25">
      <c r="A39" t="s">
        <v>2</v>
      </c>
      <c r="B39" t="s">
        <v>40</v>
      </c>
      <c r="C39">
        <v>1</v>
      </c>
      <c r="D39">
        <f>betterSearch(A39,nodes!A:A,nodes!B:B)</f>
        <v>0</v>
      </c>
      <c r="E39">
        <f>betterSearch(B39,nodes!A:A,nodes!B:B)</f>
        <v>38</v>
      </c>
      <c r="F39" t="s">
        <v>279</v>
      </c>
      <c r="G39" t="s">
        <v>280</v>
      </c>
      <c r="H39" t="s">
        <v>281</v>
      </c>
      <c r="I39" t="s">
        <v>276</v>
      </c>
      <c r="J39" t="str">
        <f t="shared" si="0"/>
        <v>{"source":0,"target":38,"value":1},</v>
      </c>
    </row>
    <row r="40" spans="1:10" x14ac:dyDescent="0.25">
      <c r="A40" t="s">
        <v>2</v>
      </c>
      <c r="B40" t="s">
        <v>41</v>
      </c>
      <c r="C40">
        <v>1</v>
      </c>
      <c r="D40">
        <f>betterSearch(A40,nodes!A:A,nodes!B:B)</f>
        <v>0</v>
      </c>
      <c r="E40">
        <f>betterSearch(B40,nodes!A:A,nodes!B:B)</f>
        <v>39</v>
      </c>
      <c r="F40" t="s">
        <v>279</v>
      </c>
      <c r="G40" t="s">
        <v>280</v>
      </c>
      <c r="H40" t="s">
        <v>281</v>
      </c>
      <c r="I40" t="s">
        <v>276</v>
      </c>
      <c r="J40" t="str">
        <f t="shared" si="0"/>
        <v>{"source":0,"target":39,"value":1},</v>
      </c>
    </row>
    <row r="41" spans="1:10" x14ac:dyDescent="0.25">
      <c r="A41" t="s">
        <v>2</v>
      </c>
      <c r="B41" t="s">
        <v>42</v>
      </c>
      <c r="C41">
        <v>1</v>
      </c>
      <c r="D41">
        <f>betterSearch(A41,nodes!A:A,nodes!B:B)</f>
        <v>0</v>
      </c>
      <c r="E41">
        <f>betterSearch(B41,nodes!A:A,nodes!B:B)</f>
        <v>40</v>
      </c>
      <c r="F41" t="s">
        <v>279</v>
      </c>
      <c r="G41" t="s">
        <v>280</v>
      </c>
      <c r="H41" t="s">
        <v>281</v>
      </c>
      <c r="I41" t="s">
        <v>276</v>
      </c>
      <c r="J41" t="str">
        <f t="shared" si="0"/>
        <v>{"source":0,"target":40,"value":1},</v>
      </c>
    </row>
    <row r="42" spans="1:10" x14ac:dyDescent="0.25">
      <c r="A42" t="s">
        <v>2</v>
      </c>
      <c r="B42" t="s">
        <v>43</v>
      </c>
      <c r="C42">
        <v>1</v>
      </c>
      <c r="D42">
        <f>betterSearch(A42,nodes!A:A,nodes!B:B)</f>
        <v>0</v>
      </c>
      <c r="E42">
        <f>betterSearch(B42,nodes!A:A,nodes!B:B)</f>
        <v>41</v>
      </c>
      <c r="F42" t="s">
        <v>279</v>
      </c>
      <c r="G42" t="s">
        <v>280</v>
      </c>
      <c r="H42" t="s">
        <v>281</v>
      </c>
      <c r="I42" t="s">
        <v>276</v>
      </c>
      <c r="J42" t="str">
        <f t="shared" si="0"/>
        <v>{"source":0,"target":41,"value":1},</v>
      </c>
    </row>
    <row r="43" spans="1:10" x14ac:dyDescent="0.25">
      <c r="A43" t="s">
        <v>2</v>
      </c>
      <c r="B43" t="s">
        <v>44</v>
      </c>
      <c r="C43">
        <v>1</v>
      </c>
      <c r="D43">
        <f>betterSearch(A43,nodes!A:A,nodes!B:B)</f>
        <v>0</v>
      </c>
      <c r="E43">
        <f>betterSearch(B43,nodes!A:A,nodes!B:B)</f>
        <v>42</v>
      </c>
      <c r="F43" t="s">
        <v>279</v>
      </c>
      <c r="G43" t="s">
        <v>280</v>
      </c>
      <c r="H43" t="s">
        <v>281</v>
      </c>
      <c r="I43" t="s">
        <v>276</v>
      </c>
      <c r="J43" t="str">
        <f t="shared" si="0"/>
        <v>{"source":0,"target":42,"value":1},</v>
      </c>
    </row>
    <row r="44" spans="1:10" x14ac:dyDescent="0.25">
      <c r="A44" t="s">
        <v>2</v>
      </c>
      <c r="B44" t="s">
        <v>45</v>
      </c>
      <c r="C44">
        <v>1</v>
      </c>
      <c r="D44">
        <f>betterSearch(A44,nodes!A:A,nodes!B:B)</f>
        <v>0</v>
      </c>
      <c r="E44">
        <f>betterSearch(B44,nodes!A:A,nodes!B:B)</f>
        <v>43</v>
      </c>
      <c r="F44" t="s">
        <v>279</v>
      </c>
      <c r="G44" t="s">
        <v>280</v>
      </c>
      <c r="H44" t="s">
        <v>281</v>
      </c>
      <c r="I44" t="s">
        <v>276</v>
      </c>
      <c r="J44" t="str">
        <f t="shared" si="0"/>
        <v>{"source":0,"target":43,"value":1},</v>
      </c>
    </row>
    <row r="45" spans="1:10" x14ac:dyDescent="0.25">
      <c r="A45" t="s">
        <v>2</v>
      </c>
      <c r="B45" t="s">
        <v>46</v>
      </c>
      <c r="C45">
        <v>1</v>
      </c>
      <c r="D45">
        <f>betterSearch(A45,nodes!A:A,nodes!B:B)</f>
        <v>0</v>
      </c>
      <c r="E45">
        <f>betterSearch(B45,nodes!A:A,nodes!B:B)</f>
        <v>44</v>
      </c>
      <c r="F45" t="s">
        <v>279</v>
      </c>
      <c r="G45" t="s">
        <v>280</v>
      </c>
      <c r="H45" t="s">
        <v>281</v>
      </c>
      <c r="I45" t="s">
        <v>276</v>
      </c>
      <c r="J45" t="str">
        <f t="shared" si="0"/>
        <v>{"source":0,"target":44,"value":1},</v>
      </c>
    </row>
    <row r="46" spans="1:10" x14ac:dyDescent="0.25">
      <c r="A46" t="s">
        <v>2</v>
      </c>
      <c r="B46" t="s">
        <v>47</v>
      </c>
      <c r="C46">
        <v>1</v>
      </c>
      <c r="D46">
        <f>betterSearch(A46,nodes!A:A,nodes!B:B)</f>
        <v>0</v>
      </c>
      <c r="E46">
        <f>betterSearch(B46,nodes!A:A,nodes!B:B)</f>
        <v>45</v>
      </c>
      <c r="F46" t="s">
        <v>279</v>
      </c>
      <c r="G46" t="s">
        <v>280</v>
      </c>
      <c r="H46" t="s">
        <v>281</v>
      </c>
      <c r="I46" t="s">
        <v>276</v>
      </c>
      <c r="J46" t="str">
        <f t="shared" si="0"/>
        <v>{"source":0,"target":45,"value":1},</v>
      </c>
    </row>
    <row r="47" spans="1:10" x14ac:dyDescent="0.25">
      <c r="A47" t="s">
        <v>2</v>
      </c>
      <c r="B47" t="s">
        <v>48</v>
      </c>
      <c r="C47">
        <v>1</v>
      </c>
      <c r="D47">
        <f>betterSearch(A47,nodes!A:A,nodes!B:B)</f>
        <v>0</v>
      </c>
      <c r="E47">
        <f>betterSearch(B47,nodes!A:A,nodes!B:B)</f>
        <v>46</v>
      </c>
      <c r="F47" t="s">
        <v>279</v>
      </c>
      <c r="G47" t="s">
        <v>280</v>
      </c>
      <c r="H47" t="s">
        <v>281</v>
      </c>
      <c r="I47" t="s">
        <v>276</v>
      </c>
      <c r="J47" t="str">
        <f t="shared" si="0"/>
        <v>{"source":0,"target":46,"value":1},</v>
      </c>
    </row>
    <row r="48" spans="1:10" x14ac:dyDescent="0.25">
      <c r="A48" t="s">
        <v>2</v>
      </c>
      <c r="B48" t="s">
        <v>49</v>
      </c>
      <c r="C48">
        <v>1</v>
      </c>
      <c r="D48">
        <f>betterSearch(A48,nodes!A:A,nodes!B:B)</f>
        <v>0</v>
      </c>
      <c r="E48">
        <f>betterSearch(B48,nodes!A:A,nodes!B:B)</f>
        <v>47</v>
      </c>
      <c r="F48" t="s">
        <v>279</v>
      </c>
      <c r="G48" t="s">
        <v>280</v>
      </c>
      <c r="H48" t="s">
        <v>281</v>
      </c>
      <c r="I48" t="s">
        <v>276</v>
      </c>
      <c r="J48" t="str">
        <f t="shared" si="0"/>
        <v>{"source":0,"target":47,"value":1},</v>
      </c>
    </row>
    <row r="49" spans="1:10" x14ac:dyDescent="0.25">
      <c r="A49" t="s">
        <v>2</v>
      </c>
      <c r="B49" t="s">
        <v>50</v>
      </c>
      <c r="C49">
        <v>1</v>
      </c>
      <c r="D49">
        <f>betterSearch(A49,nodes!A:A,nodes!B:B)</f>
        <v>0</v>
      </c>
      <c r="E49">
        <f>betterSearch(B49,nodes!A:A,nodes!B:B)</f>
        <v>48</v>
      </c>
      <c r="F49" t="s">
        <v>279</v>
      </c>
      <c r="G49" t="s">
        <v>280</v>
      </c>
      <c r="H49" t="s">
        <v>281</v>
      </c>
      <c r="I49" t="s">
        <v>276</v>
      </c>
      <c r="J49" t="str">
        <f t="shared" si="0"/>
        <v>{"source":0,"target":48,"value":1},</v>
      </c>
    </row>
    <row r="50" spans="1:10" x14ac:dyDescent="0.25">
      <c r="A50" t="s">
        <v>2</v>
      </c>
      <c r="B50" t="s">
        <v>51</v>
      </c>
      <c r="C50">
        <v>1</v>
      </c>
      <c r="D50">
        <f>betterSearch(A50,nodes!A:A,nodes!B:B)</f>
        <v>0</v>
      </c>
      <c r="E50">
        <f>betterSearch(B50,nodes!A:A,nodes!B:B)</f>
        <v>49</v>
      </c>
      <c r="F50" t="s">
        <v>279</v>
      </c>
      <c r="G50" t="s">
        <v>280</v>
      </c>
      <c r="H50" t="s">
        <v>281</v>
      </c>
      <c r="I50" t="s">
        <v>276</v>
      </c>
      <c r="J50" t="str">
        <f t="shared" si="0"/>
        <v>{"source":0,"target":49,"value":1},</v>
      </c>
    </row>
    <row r="51" spans="1:10" x14ac:dyDescent="0.25">
      <c r="A51" t="s">
        <v>2</v>
      </c>
      <c r="B51" t="s">
        <v>52</v>
      </c>
      <c r="C51">
        <v>1</v>
      </c>
      <c r="D51">
        <f>betterSearch(A51,nodes!A:A,nodes!B:B)</f>
        <v>0</v>
      </c>
      <c r="E51">
        <f>betterSearch(B51,nodes!A:A,nodes!B:B)</f>
        <v>50</v>
      </c>
      <c r="F51" t="s">
        <v>279</v>
      </c>
      <c r="G51" t="s">
        <v>280</v>
      </c>
      <c r="H51" t="s">
        <v>281</v>
      </c>
      <c r="I51" t="s">
        <v>276</v>
      </c>
      <c r="J51" t="str">
        <f t="shared" si="0"/>
        <v>{"source":0,"target":50,"value":1},</v>
      </c>
    </row>
    <row r="52" spans="1:10" x14ac:dyDescent="0.25">
      <c r="A52" t="s">
        <v>2</v>
      </c>
      <c r="B52" t="s">
        <v>53</v>
      </c>
      <c r="C52">
        <v>1</v>
      </c>
      <c r="D52">
        <f>betterSearch(A52,nodes!A:A,nodes!B:B)</f>
        <v>0</v>
      </c>
      <c r="E52">
        <f>betterSearch(B52,nodes!A:A,nodes!B:B)</f>
        <v>51</v>
      </c>
      <c r="F52" t="s">
        <v>279</v>
      </c>
      <c r="G52" t="s">
        <v>280</v>
      </c>
      <c r="H52" t="s">
        <v>281</v>
      </c>
      <c r="I52" t="s">
        <v>276</v>
      </c>
      <c r="J52" t="str">
        <f t="shared" si="0"/>
        <v>{"source":0,"target":51,"value":1},</v>
      </c>
    </row>
    <row r="53" spans="1:10" x14ac:dyDescent="0.25">
      <c r="A53" t="s">
        <v>2</v>
      </c>
      <c r="B53" t="s">
        <v>54</v>
      </c>
      <c r="C53">
        <v>1</v>
      </c>
      <c r="D53">
        <f>betterSearch(A53,nodes!A:A,nodes!B:B)</f>
        <v>0</v>
      </c>
      <c r="E53">
        <f>betterSearch(B53,nodes!A:A,nodes!B:B)</f>
        <v>52</v>
      </c>
      <c r="F53" t="s">
        <v>279</v>
      </c>
      <c r="G53" t="s">
        <v>280</v>
      </c>
      <c r="H53" t="s">
        <v>281</v>
      </c>
      <c r="I53" t="s">
        <v>276</v>
      </c>
      <c r="J53" t="str">
        <f t="shared" si="0"/>
        <v>{"source":0,"target":52,"value":1},</v>
      </c>
    </row>
    <row r="54" spans="1:10" x14ac:dyDescent="0.25">
      <c r="A54" t="s">
        <v>2</v>
      </c>
      <c r="B54" t="s">
        <v>55</v>
      </c>
      <c r="C54">
        <v>1</v>
      </c>
      <c r="D54">
        <f>betterSearch(A54,nodes!A:A,nodes!B:B)</f>
        <v>0</v>
      </c>
      <c r="E54">
        <f>betterSearch(B54,nodes!A:A,nodes!B:B)</f>
        <v>53</v>
      </c>
      <c r="F54" t="s">
        <v>279</v>
      </c>
      <c r="G54" t="s">
        <v>280</v>
      </c>
      <c r="H54" t="s">
        <v>281</v>
      </c>
      <c r="I54" t="s">
        <v>276</v>
      </c>
      <c r="J54" t="str">
        <f t="shared" si="0"/>
        <v>{"source":0,"target":53,"value":1},</v>
      </c>
    </row>
    <row r="55" spans="1:10" x14ac:dyDescent="0.25">
      <c r="A55" t="s">
        <v>2</v>
      </c>
      <c r="B55" t="s">
        <v>56</v>
      </c>
      <c r="C55">
        <v>1</v>
      </c>
      <c r="D55">
        <f>betterSearch(A55,nodes!A:A,nodes!B:B)</f>
        <v>0</v>
      </c>
      <c r="E55">
        <f>betterSearch(B55,nodes!A:A,nodes!B:B)</f>
        <v>54</v>
      </c>
      <c r="F55" t="s">
        <v>279</v>
      </c>
      <c r="G55" t="s">
        <v>280</v>
      </c>
      <c r="H55" t="s">
        <v>281</v>
      </c>
      <c r="I55" t="s">
        <v>276</v>
      </c>
      <c r="J55" t="str">
        <f t="shared" si="0"/>
        <v>{"source":0,"target":54,"value":1},</v>
      </c>
    </row>
    <row r="56" spans="1:10" x14ac:dyDescent="0.25">
      <c r="A56" t="s">
        <v>2</v>
      </c>
      <c r="B56" t="s">
        <v>57</v>
      </c>
      <c r="C56">
        <v>1</v>
      </c>
      <c r="D56">
        <f>betterSearch(A56,nodes!A:A,nodes!B:B)</f>
        <v>0</v>
      </c>
      <c r="E56">
        <f>betterSearch(B56,nodes!A:A,nodes!B:B)</f>
        <v>55</v>
      </c>
      <c r="F56" t="s">
        <v>279</v>
      </c>
      <c r="G56" t="s">
        <v>280</v>
      </c>
      <c r="H56" t="s">
        <v>281</v>
      </c>
      <c r="I56" t="s">
        <v>276</v>
      </c>
      <c r="J56" t="str">
        <f t="shared" si="0"/>
        <v>{"source":0,"target":55,"value":1},</v>
      </c>
    </row>
    <row r="57" spans="1:10" x14ac:dyDescent="0.25">
      <c r="A57" t="s">
        <v>2</v>
      </c>
      <c r="B57" t="s">
        <v>58</v>
      </c>
      <c r="C57">
        <v>1</v>
      </c>
      <c r="D57">
        <f>betterSearch(A57,nodes!A:A,nodes!B:B)</f>
        <v>0</v>
      </c>
      <c r="E57">
        <f>betterSearch(B57,nodes!A:A,nodes!B:B)</f>
        <v>56</v>
      </c>
      <c r="F57" t="s">
        <v>279</v>
      </c>
      <c r="G57" t="s">
        <v>280</v>
      </c>
      <c r="H57" t="s">
        <v>281</v>
      </c>
      <c r="I57" t="s">
        <v>276</v>
      </c>
      <c r="J57" t="str">
        <f t="shared" si="0"/>
        <v>{"source":0,"target":56,"value":1},</v>
      </c>
    </row>
    <row r="58" spans="1:10" x14ac:dyDescent="0.25">
      <c r="A58" t="s">
        <v>2</v>
      </c>
      <c r="B58" t="s">
        <v>59</v>
      </c>
      <c r="C58">
        <v>1</v>
      </c>
      <c r="D58">
        <f>betterSearch(A58,nodes!A:A,nodes!B:B)</f>
        <v>0</v>
      </c>
      <c r="E58">
        <f>betterSearch(B58,nodes!A:A,nodes!B:B)</f>
        <v>57</v>
      </c>
      <c r="F58" t="s">
        <v>279</v>
      </c>
      <c r="G58" t="s">
        <v>280</v>
      </c>
      <c r="H58" t="s">
        <v>281</v>
      </c>
      <c r="I58" t="s">
        <v>276</v>
      </c>
      <c r="J58" t="str">
        <f t="shared" si="0"/>
        <v>{"source":0,"target":57,"value":1},</v>
      </c>
    </row>
    <row r="59" spans="1:10" x14ac:dyDescent="0.25">
      <c r="A59" t="s">
        <v>2</v>
      </c>
      <c r="B59" t="s">
        <v>60</v>
      </c>
      <c r="C59">
        <v>1</v>
      </c>
      <c r="D59">
        <f>betterSearch(A59,nodes!A:A,nodes!B:B)</f>
        <v>0</v>
      </c>
      <c r="E59">
        <f>betterSearch(B59,nodes!A:A,nodes!B:B)</f>
        <v>58</v>
      </c>
      <c r="F59" t="s">
        <v>279</v>
      </c>
      <c r="G59" t="s">
        <v>280</v>
      </c>
      <c r="H59" t="s">
        <v>281</v>
      </c>
      <c r="I59" t="s">
        <v>276</v>
      </c>
      <c r="J59" t="str">
        <f t="shared" si="0"/>
        <v>{"source":0,"target":58,"value":1},</v>
      </c>
    </row>
    <row r="60" spans="1:10" x14ac:dyDescent="0.25">
      <c r="A60" t="s">
        <v>2</v>
      </c>
      <c r="B60" t="s">
        <v>61</v>
      </c>
      <c r="C60">
        <v>1</v>
      </c>
      <c r="D60">
        <f>betterSearch(A60,nodes!A:A,nodes!B:B)</f>
        <v>0</v>
      </c>
      <c r="E60">
        <f>betterSearch(B60,nodes!A:A,nodes!B:B)</f>
        <v>59</v>
      </c>
      <c r="F60" t="s">
        <v>279</v>
      </c>
      <c r="G60" t="s">
        <v>280</v>
      </c>
      <c r="H60" t="s">
        <v>281</v>
      </c>
      <c r="I60" t="s">
        <v>276</v>
      </c>
      <c r="J60" t="str">
        <f t="shared" si="0"/>
        <v>{"source":0,"target":59,"value":1},</v>
      </c>
    </row>
    <row r="61" spans="1:10" x14ac:dyDescent="0.25">
      <c r="A61" t="s">
        <v>2</v>
      </c>
      <c r="B61" t="s">
        <v>62</v>
      </c>
      <c r="C61">
        <v>1</v>
      </c>
      <c r="D61">
        <f>betterSearch(A61,nodes!A:A,nodes!B:B)</f>
        <v>0</v>
      </c>
      <c r="E61">
        <f>betterSearch(B61,nodes!A:A,nodes!B:B)</f>
        <v>60</v>
      </c>
      <c r="F61" t="s">
        <v>279</v>
      </c>
      <c r="G61" t="s">
        <v>280</v>
      </c>
      <c r="H61" t="s">
        <v>281</v>
      </c>
      <c r="I61" t="s">
        <v>276</v>
      </c>
      <c r="J61" t="str">
        <f t="shared" si="0"/>
        <v>{"source":0,"target":60,"value":1},</v>
      </c>
    </row>
    <row r="62" spans="1:10" x14ac:dyDescent="0.25">
      <c r="A62" t="s">
        <v>2</v>
      </c>
      <c r="B62" t="s">
        <v>63</v>
      </c>
      <c r="C62">
        <v>1</v>
      </c>
      <c r="D62">
        <f>betterSearch(A62,nodes!A:A,nodes!B:B)</f>
        <v>0</v>
      </c>
      <c r="E62">
        <f>betterSearch(B62,nodes!A:A,nodes!B:B)</f>
        <v>61</v>
      </c>
      <c r="F62" t="s">
        <v>279</v>
      </c>
      <c r="G62" t="s">
        <v>280</v>
      </c>
      <c r="H62" t="s">
        <v>281</v>
      </c>
      <c r="I62" t="s">
        <v>276</v>
      </c>
      <c r="J62" t="str">
        <f t="shared" si="0"/>
        <v>{"source":0,"target":61,"value":1},</v>
      </c>
    </row>
    <row r="63" spans="1:10" x14ac:dyDescent="0.25">
      <c r="A63" t="s">
        <v>2</v>
      </c>
      <c r="B63" t="s">
        <v>64</v>
      </c>
      <c r="C63">
        <v>1</v>
      </c>
      <c r="D63">
        <f>betterSearch(A63,nodes!A:A,nodes!B:B)</f>
        <v>0</v>
      </c>
      <c r="E63">
        <f>betterSearch(B63,nodes!A:A,nodes!B:B)</f>
        <v>62</v>
      </c>
      <c r="F63" t="s">
        <v>279</v>
      </c>
      <c r="G63" t="s">
        <v>280</v>
      </c>
      <c r="H63" t="s">
        <v>281</v>
      </c>
      <c r="I63" t="s">
        <v>276</v>
      </c>
      <c r="J63" t="str">
        <f t="shared" si="0"/>
        <v>{"source":0,"target":62,"value":1},</v>
      </c>
    </row>
    <row r="64" spans="1:10" x14ac:dyDescent="0.25">
      <c r="A64" t="s">
        <v>2</v>
      </c>
      <c r="B64" t="s">
        <v>65</v>
      </c>
      <c r="C64">
        <v>1</v>
      </c>
      <c r="D64">
        <f>betterSearch(A64,nodes!A:A,nodes!B:B)</f>
        <v>0</v>
      </c>
      <c r="E64">
        <f>betterSearch(B64,nodes!A:A,nodes!B:B)</f>
        <v>63</v>
      </c>
      <c r="F64" t="s">
        <v>279</v>
      </c>
      <c r="G64" t="s">
        <v>280</v>
      </c>
      <c r="H64" t="s">
        <v>281</v>
      </c>
      <c r="I64" t="s">
        <v>276</v>
      </c>
      <c r="J64" t="str">
        <f t="shared" si="0"/>
        <v>{"source":0,"target":63,"value":1},</v>
      </c>
    </row>
    <row r="65" spans="1:10" x14ac:dyDescent="0.25">
      <c r="A65" t="s">
        <v>2</v>
      </c>
      <c r="B65" t="s">
        <v>66</v>
      </c>
      <c r="C65">
        <v>1</v>
      </c>
      <c r="D65">
        <f>betterSearch(A65,nodes!A:A,nodes!B:B)</f>
        <v>0</v>
      </c>
      <c r="E65">
        <f>betterSearch(B65,nodes!A:A,nodes!B:B)</f>
        <v>64</v>
      </c>
      <c r="F65" t="s">
        <v>279</v>
      </c>
      <c r="G65" t="s">
        <v>280</v>
      </c>
      <c r="H65" t="s">
        <v>281</v>
      </c>
      <c r="I65" t="s">
        <v>276</v>
      </c>
      <c r="J65" t="str">
        <f t="shared" si="0"/>
        <v>{"source":0,"target":64,"value":1},</v>
      </c>
    </row>
    <row r="66" spans="1:10" x14ac:dyDescent="0.25">
      <c r="A66" t="s">
        <v>2</v>
      </c>
      <c r="B66" t="s">
        <v>67</v>
      </c>
      <c r="C66">
        <v>1</v>
      </c>
      <c r="D66">
        <f>betterSearch(A66,nodes!A:A,nodes!B:B)</f>
        <v>0</v>
      </c>
      <c r="E66">
        <f>betterSearch(B66,nodes!A:A,nodes!B:B)</f>
        <v>65</v>
      </c>
      <c r="F66" t="s">
        <v>279</v>
      </c>
      <c r="G66" t="s">
        <v>280</v>
      </c>
      <c r="H66" t="s">
        <v>281</v>
      </c>
      <c r="I66" t="s">
        <v>276</v>
      </c>
      <c r="J66" t="str">
        <f t="shared" si="0"/>
        <v>{"source":0,"target":65,"value":1},</v>
      </c>
    </row>
    <row r="67" spans="1:10" x14ac:dyDescent="0.25">
      <c r="A67" t="s">
        <v>2</v>
      </c>
      <c r="B67" t="s">
        <v>68</v>
      </c>
      <c r="C67">
        <v>1</v>
      </c>
      <c r="D67">
        <f>betterSearch(A67,nodes!A:A,nodes!B:B)</f>
        <v>0</v>
      </c>
      <c r="E67">
        <f>betterSearch(B67,nodes!A:A,nodes!B:B)</f>
        <v>66</v>
      </c>
      <c r="F67" t="s">
        <v>279</v>
      </c>
      <c r="G67" t="s">
        <v>280</v>
      </c>
      <c r="H67" t="s">
        <v>281</v>
      </c>
      <c r="I67" t="s">
        <v>276</v>
      </c>
      <c r="J67" t="str">
        <f t="shared" ref="J67:J130" si="1">CONCATENATE(F67,D67,G67,E67,H67,C67,I67)</f>
        <v>{"source":0,"target":66,"value":1},</v>
      </c>
    </row>
    <row r="68" spans="1:10" x14ac:dyDescent="0.25">
      <c r="A68" t="s">
        <v>2</v>
      </c>
      <c r="B68" t="s">
        <v>69</v>
      </c>
      <c r="C68">
        <v>1</v>
      </c>
      <c r="D68">
        <f>betterSearch(A68,nodes!A:A,nodes!B:B)</f>
        <v>0</v>
      </c>
      <c r="E68">
        <f>betterSearch(B68,nodes!A:A,nodes!B:B)</f>
        <v>67</v>
      </c>
      <c r="F68" t="s">
        <v>279</v>
      </c>
      <c r="G68" t="s">
        <v>280</v>
      </c>
      <c r="H68" t="s">
        <v>281</v>
      </c>
      <c r="I68" t="s">
        <v>276</v>
      </c>
      <c r="J68" t="str">
        <f t="shared" si="1"/>
        <v>{"source":0,"target":67,"value":1},</v>
      </c>
    </row>
    <row r="69" spans="1:10" x14ac:dyDescent="0.25">
      <c r="A69" t="s">
        <v>2</v>
      </c>
      <c r="B69" t="s">
        <v>70</v>
      </c>
      <c r="C69">
        <v>1</v>
      </c>
      <c r="D69">
        <f>betterSearch(A69,nodes!A:A,nodes!B:B)</f>
        <v>0</v>
      </c>
      <c r="E69">
        <f>betterSearch(B69,nodes!A:A,nodes!B:B)</f>
        <v>68</v>
      </c>
      <c r="F69" t="s">
        <v>279</v>
      </c>
      <c r="G69" t="s">
        <v>280</v>
      </c>
      <c r="H69" t="s">
        <v>281</v>
      </c>
      <c r="I69" t="s">
        <v>276</v>
      </c>
      <c r="J69" t="str">
        <f t="shared" si="1"/>
        <v>{"source":0,"target":68,"value":1},</v>
      </c>
    </row>
    <row r="70" spans="1:10" x14ac:dyDescent="0.25">
      <c r="A70" t="s">
        <v>2</v>
      </c>
      <c r="B70" t="s">
        <v>71</v>
      </c>
      <c r="C70">
        <v>1</v>
      </c>
      <c r="D70">
        <f>betterSearch(A70,nodes!A:A,nodes!B:B)</f>
        <v>0</v>
      </c>
      <c r="E70">
        <f>betterSearch(B70,nodes!A:A,nodes!B:B)</f>
        <v>69</v>
      </c>
      <c r="F70" t="s">
        <v>279</v>
      </c>
      <c r="G70" t="s">
        <v>280</v>
      </c>
      <c r="H70" t="s">
        <v>281</v>
      </c>
      <c r="I70" t="s">
        <v>276</v>
      </c>
      <c r="J70" t="str">
        <f t="shared" si="1"/>
        <v>{"source":0,"target":69,"value":1},</v>
      </c>
    </row>
    <row r="71" spans="1:10" x14ac:dyDescent="0.25">
      <c r="A71" t="s">
        <v>2</v>
      </c>
      <c r="B71" t="s">
        <v>72</v>
      </c>
      <c r="C71">
        <v>1</v>
      </c>
      <c r="D71">
        <f>betterSearch(A71,nodes!A:A,nodes!B:B)</f>
        <v>0</v>
      </c>
      <c r="E71">
        <f>betterSearch(B71,nodes!A:A,nodes!B:B)</f>
        <v>70</v>
      </c>
      <c r="F71" t="s">
        <v>279</v>
      </c>
      <c r="G71" t="s">
        <v>280</v>
      </c>
      <c r="H71" t="s">
        <v>281</v>
      </c>
      <c r="I71" t="s">
        <v>276</v>
      </c>
      <c r="J71" t="str">
        <f t="shared" si="1"/>
        <v>{"source":0,"target":70,"value":1},</v>
      </c>
    </row>
    <row r="72" spans="1:10" x14ac:dyDescent="0.25">
      <c r="A72" t="s">
        <v>2</v>
      </c>
      <c r="B72" t="s">
        <v>73</v>
      </c>
      <c r="C72">
        <v>1</v>
      </c>
      <c r="D72">
        <f>betterSearch(A72,nodes!A:A,nodes!B:B)</f>
        <v>0</v>
      </c>
      <c r="E72">
        <f>betterSearch(B72,nodes!A:A,nodes!B:B)</f>
        <v>71</v>
      </c>
      <c r="F72" t="s">
        <v>279</v>
      </c>
      <c r="G72" t="s">
        <v>280</v>
      </c>
      <c r="H72" t="s">
        <v>281</v>
      </c>
      <c r="I72" t="s">
        <v>276</v>
      </c>
      <c r="J72" t="str">
        <f t="shared" si="1"/>
        <v>{"source":0,"target":71,"value":1},</v>
      </c>
    </row>
    <row r="73" spans="1:10" x14ac:dyDescent="0.25">
      <c r="A73" t="s">
        <v>2</v>
      </c>
      <c r="B73" t="s">
        <v>74</v>
      </c>
      <c r="C73">
        <v>1</v>
      </c>
      <c r="D73">
        <f>betterSearch(A73,nodes!A:A,nodes!B:B)</f>
        <v>0</v>
      </c>
      <c r="E73">
        <f>betterSearch(B73,nodes!A:A,nodes!B:B)</f>
        <v>72</v>
      </c>
      <c r="F73" t="s">
        <v>279</v>
      </c>
      <c r="G73" t="s">
        <v>280</v>
      </c>
      <c r="H73" t="s">
        <v>281</v>
      </c>
      <c r="I73" t="s">
        <v>276</v>
      </c>
      <c r="J73" t="str">
        <f t="shared" si="1"/>
        <v>{"source":0,"target":72,"value":1},</v>
      </c>
    </row>
    <row r="74" spans="1:10" x14ac:dyDescent="0.25">
      <c r="A74" t="s">
        <v>2</v>
      </c>
      <c r="B74" t="s">
        <v>75</v>
      </c>
      <c r="C74">
        <v>1</v>
      </c>
      <c r="D74">
        <f>betterSearch(A74,nodes!A:A,nodes!B:B)</f>
        <v>0</v>
      </c>
      <c r="E74">
        <f>betterSearch(B74,nodes!A:A,nodes!B:B)</f>
        <v>73</v>
      </c>
      <c r="F74" t="s">
        <v>279</v>
      </c>
      <c r="G74" t="s">
        <v>280</v>
      </c>
      <c r="H74" t="s">
        <v>281</v>
      </c>
      <c r="I74" t="s">
        <v>276</v>
      </c>
      <c r="J74" t="str">
        <f t="shared" si="1"/>
        <v>{"source":0,"target":73,"value":1},</v>
      </c>
    </row>
    <row r="75" spans="1:10" x14ac:dyDescent="0.25">
      <c r="A75" t="s">
        <v>2</v>
      </c>
      <c r="B75" t="s">
        <v>76</v>
      </c>
      <c r="C75">
        <v>1</v>
      </c>
      <c r="D75">
        <f>betterSearch(A75,nodes!A:A,nodes!B:B)</f>
        <v>0</v>
      </c>
      <c r="E75">
        <f>betterSearch(B75,nodes!A:A,nodes!B:B)</f>
        <v>74</v>
      </c>
      <c r="F75" t="s">
        <v>279</v>
      </c>
      <c r="G75" t="s">
        <v>280</v>
      </c>
      <c r="H75" t="s">
        <v>281</v>
      </c>
      <c r="I75" t="s">
        <v>276</v>
      </c>
      <c r="J75" t="str">
        <f t="shared" si="1"/>
        <v>{"source":0,"target":74,"value":1},</v>
      </c>
    </row>
    <row r="76" spans="1:10" x14ac:dyDescent="0.25">
      <c r="A76" t="s">
        <v>2</v>
      </c>
      <c r="B76" t="s">
        <v>77</v>
      </c>
      <c r="C76">
        <v>1</v>
      </c>
      <c r="D76">
        <f>betterSearch(A76,nodes!A:A,nodes!B:B)</f>
        <v>0</v>
      </c>
      <c r="E76">
        <f>betterSearch(B76,nodes!A:A,nodes!B:B)</f>
        <v>75</v>
      </c>
      <c r="F76" t="s">
        <v>279</v>
      </c>
      <c r="G76" t="s">
        <v>280</v>
      </c>
      <c r="H76" t="s">
        <v>281</v>
      </c>
      <c r="I76" t="s">
        <v>276</v>
      </c>
      <c r="J76" t="str">
        <f t="shared" si="1"/>
        <v>{"source":0,"target":75,"value":1},</v>
      </c>
    </row>
    <row r="77" spans="1:10" x14ac:dyDescent="0.25">
      <c r="A77" t="s">
        <v>2</v>
      </c>
      <c r="B77" t="s">
        <v>78</v>
      </c>
      <c r="C77">
        <v>1</v>
      </c>
      <c r="D77">
        <f>betterSearch(A77,nodes!A:A,nodes!B:B)</f>
        <v>0</v>
      </c>
      <c r="E77">
        <f>betterSearch(B77,nodes!A:A,nodes!B:B)</f>
        <v>76</v>
      </c>
      <c r="F77" t="s">
        <v>279</v>
      </c>
      <c r="G77" t="s">
        <v>280</v>
      </c>
      <c r="H77" t="s">
        <v>281</v>
      </c>
      <c r="I77" t="s">
        <v>276</v>
      </c>
      <c r="J77" t="str">
        <f t="shared" si="1"/>
        <v>{"source":0,"target":76,"value":1},</v>
      </c>
    </row>
    <row r="78" spans="1:10" x14ac:dyDescent="0.25">
      <c r="A78" t="s">
        <v>2</v>
      </c>
      <c r="B78" t="s">
        <v>79</v>
      </c>
      <c r="C78">
        <v>1</v>
      </c>
      <c r="D78">
        <f>betterSearch(A78,nodes!A:A,nodes!B:B)</f>
        <v>0</v>
      </c>
      <c r="E78">
        <f>betterSearch(B78,nodes!A:A,nodes!B:B)</f>
        <v>77</v>
      </c>
      <c r="F78" t="s">
        <v>279</v>
      </c>
      <c r="G78" t="s">
        <v>280</v>
      </c>
      <c r="H78" t="s">
        <v>281</v>
      </c>
      <c r="I78" t="s">
        <v>276</v>
      </c>
      <c r="J78" t="str">
        <f t="shared" si="1"/>
        <v>{"source":0,"target":77,"value":1},</v>
      </c>
    </row>
    <row r="79" spans="1:10" x14ac:dyDescent="0.25">
      <c r="A79" t="s">
        <v>2</v>
      </c>
      <c r="B79" t="s">
        <v>80</v>
      </c>
      <c r="C79">
        <v>1</v>
      </c>
      <c r="D79">
        <f>betterSearch(A79,nodes!A:A,nodes!B:B)</f>
        <v>0</v>
      </c>
      <c r="E79">
        <f>betterSearch(B79,nodes!A:A,nodes!B:B)</f>
        <v>78</v>
      </c>
      <c r="F79" t="s">
        <v>279</v>
      </c>
      <c r="G79" t="s">
        <v>280</v>
      </c>
      <c r="H79" t="s">
        <v>281</v>
      </c>
      <c r="I79" t="s">
        <v>276</v>
      </c>
      <c r="J79" t="str">
        <f t="shared" si="1"/>
        <v>{"source":0,"target":78,"value":1},</v>
      </c>
    </row>
    <row r="80" spans="1:10" x14ac:dyDescent="0.25">
      <c r="A80" t="s">
        <v>2</v>
      </c>
      <c r="B80" t="s">
        <v>81</v>
      </c>
      <c r="C80">
        <v>1</v>
      </c>
      <c r="D80">
        <f>betterSearch(A80,nodes!A:A,nodes!B:B)</f>
        <v>0</v>
      </c>
      <c r="E80">
        <f>betterSearch(B80,nodes!A:A,nodes!B:B)</f>
        <v>79</v>
      </c>
      <c r="F80" t="s">
        <v>279</v>
      </c>
      <c r="G80" t="s">
        <v>280</v>
      </c>
      <c r="H80" t="s">
        <v>281</v>
      </c>
      <c r="I80" t="s">
        <v>276</v>
      </c>
      <c r="J80" t="str">
        <f t="shared" si="1"/>
        <v>{"source":0,"target":79,"value":1},</v>
      </c>
    </row>
    <row r="81" spans="1:10" x14ac:dyDescent="0.25">
      <c r="A81" t="s">
        <v>3</v>
      </c>
      <c r="B81" t="s">
        <v>82</v>
      </c>
      <c r="C81">
        <v>1</v>
      </c>
      <c r="D81">
        <f>betterSearch(A81,nodes!A:A,nodes!B:B)</f>
        <v>1</v>
      </c>
      <c r="E81">
        <f>betterSearch(B81,nodes!A:A,nodes!B:B)</f>
        <v>80</v>
      </c>
      <c r="F81" t="s">
        <v>279</v>
      </c>
      <c r="G81" t="s">
        <v>280</v>
      </c>
      <c r="H81" t="s">
        <v>281</v>
      </c>
      <c r="I81" t="s">
        <v>276</v>
      </c>
      <c r="J81" t="str">
        <f t="shared" si="1"/>
        <v>{"source":1,"target":80,"value":1},</v>
      </c>
    </row>
    <row r="82" spans="1:10" x14ac:dyDescent="0.25">
      <c r="A82" t="s">
        <v>4</v>
      </c>
      <c r="B82" t="s">
        <v>82</v>
      </c>
      <c r="C82">
        <v>1</v>
      </c>
      <c r="D82">
        <f>betterSearch(A82,nodes!A:A,nodes!B:B)</f>
        <v>2</v>
      </c>
      <c r="E82">
        <f>betterSearch(B82,nodes!A:A,nodes!B:B)</f>
        <v>80</v>
      </c>
      <c r="F82" t="s">
        <v>279</v>
      </c>
      <c r="G82" t="s">
        <v>280</v>
      </c>
      <c r="H82" t="s">
        <v>281</v>
      </c>
      <c r="I82" t="s">
        <v>276</v>
      </c>
      <c r="J82" t="str">
        <f t="shared" si="1"/>
        <v>{"source":2,"target":80,"value":1},</v>
      </c>
    </row>
    <row r="83" spans="1:10" x14ac:dyDescent="0.25">
      <c r="A83" t="s">
        <v>5</v>
      </c>
      <c r="B83" t="s">
        <v>83</v>
      </c>
      <c r="C83">
        <v>1</v>
      </c>
      <c r="D83">
        <f>betterSearch(A83,nodes!A:A,nodes!B:B)</f>
        <v>3</v>
      </c>
      <c r="E83">
        <f>betterSearch(B83,nodes!A:A,nodes!B:B)</f>
        <v>81</v>
      </c>
      <c r="F83" t="s">
        <v>279</v>
      </c>
      <c r="G83" t="s">
        <v>280</v>
      </c>
      <c r="H83" t="s">
        <v>281</v>
      </c>
      <c r="I83" t="s">
        <v>276</v>
      </c>
      <c r="J83" t="str">
        <f t="shared" si="1"/>
        <v>{"source":3,"target":81,"value":1},</v>
      </c>
    </row>
    <row r="84" spans="1:10" x14ac:dyDescent="0.25">
      <c r="A84" t="s">
        <v>6</v>
      </c>
      <c r="B84" t="s">
        <v>84</v>
      </c>
      <c r="C84">
        <v>1</v>
      </c>
      <c r="D84">
        <f>betterSearch(A84,nodes!A:A,nodes!B:B)</f>
        <v>4</v>
      </c>
      <c r="E84">
        <f>betterSearch(B84,nodes!A:A,nodes!B:B)</f>
        <v>82</v>
      </c>
      <c r="F84" t="s">
        <v>279</v>
      </c>
      <c r="G84" t="s">
        <v>280</v>
      </c>
      <c r="H84" t="s">
        <v>281</v>
      </c>
      <c r="I84" t="s">
        <v>276</v>
      </c>
      <c r="J84" t="str">
        <f t="shared" si="1"/>
        <v>{"source":4,"target":82,"value":1},</v>
      </c>
    </row>
    <row r="85" spans="1:10" x14ac:dyDescent="0.25">
      <c r="A85" t="s">
        <v>6</v>
      </c>
      <c r="B85" t="s">
        <v>85</v>
      </c>
      <c r="C85">
        <v>1</v>
      </c>
      <c r="D85">
        <f>betterSearch(A85,nodes!A:A,nodes!B:B)</f>
        <v>4</v>
      </c>
      <c r="E85">
        <f>betterSearch(B85,nodes!A:A,nodes!B:B)</f>
        <v>83</v>
      </c>
      <c r="F85" t="s">
        <v>279</v>
      </c>
      <c r="G85" t="s">
        <v>280</v>
      </c>
      <c r="H85" t="s">
        <v>281</v>
      </c>
      <c r="I85" t="s">
        <v>276</v>
      </c>
      <c r="J85" t="str">
        <f t="shared" si="1"/>
        <v>{"source":4,"target":83,"value":1},</v>
      </c>
    </row>
    <row r="86" spans="1:10" x14ac:dyDescent="0.25">
      <c r="A86" t="s">
        <v>7</v>
      </c>
      <c r="B86" t="s">
        <v>85</v>
      </c>
      <c r="C86">
        <v>1</v>
      </c>
      <c r="D86">
        <f>betterSearch(A86,nodes!A:A,nodes!B:B)</f>
        <v>5</v>
      </c>
      <c r="E86">
        <f>betterSearch(B86,nodes!A:A,nodes!B:B)</f>
        <v>83</v>
      </c>
      <c r="F86" t="s">
        <v>279</v>
      </c>
      <c r="G86" t="s">
        <v>280</v>
      </c>
      <c r="H86" t="s">
        <v>281</v>
      </c>
      <c r="I86" t="s">
        <v>276</v>
      </c>
      <c r="J86" t="str">
        <f t="shared" si="1"/>
        <v>{"source":5,"target":83,"value":1},</v>
      </c>
    </row>
    <row r="87" spans="1:10" x14ac:dyDescent="0.25">
      <c r="A87" t="s">
        <v>8</v>
      </c>
      <c r="B87" t="s">
        <v>85</v>
      </c>
      <c r="C87">
        <v>1</v>
      </c>
      <c r="D87">
        <f>betterSearch(A87,nodes!A:A,nodes!B:B)</f>
        <v>6</v>
      </c>
      <c r="E87">
        <f>betterSearch(B87,nodes!A:A,nodes!B:B)</f>
        <v>83</v>
      </c>
      <c r="F87" t="s">
        <v>279</v>
      </c>
      <c r="G87" t="s">
        <v>280</v>
      </c>
      <c r="H87" t="s">
        <v>281</v>
      </c>
      <c r="I87" t="s">
        <v>276</v>
      </c>
      <c r="J87" t="str">
        <f t="shared" si="1"/>
        <v>{"source":6,"target":83,"value":1},</v>
      </c>
    </row>
    <row r="88" spans="1:10" x14ac:dyDescent="0.25">
      <c r="A88" t="s">
        <v>9</v>
      </c>
      <c r="B88" t="s">
        <v>85</v>
      </c>
      <c r="C88">
        <v>1</v>
      </c>
      <c r="D88">
        <f>betterSearch(A88,nodes!A:A,nodes!B:B)</f>
        <v>7</v>
      </c>
      <c r="E88">
        <f>betterSearch(B88,nodes!A:A,nodes!B:B)</f>
        <v>83</v>
      </c>
      <c r="F88" t="s">
        <v>279</v>
      </c>
      <c r="G88" t="s">
        <v>280</v>
      </c>
      <c r="H88" t="s">
        <v>281</v>
      </c>
      <c r="I88" t="s">
        <v>276</v>
      </c>
      <c r="J88" t="str">
        <f t="shared" si="1"/>
        <v>{"source":7,"target":83,"value":1},</v>
      </c>
    </row>
    <row r="89" spans="1:10" x14ac:dyDescent="0.25">
      <c r="A89" t="s">
        <v>10</v>
      </c>
      <c r="B89" t="s">
        <v>86</v>
      </c>
      <c r="C89">
        <v>1</v>
      </c>
      <c r="D89">
        <f>betterSearch(A89,nodes!A:A,nodes!B:B)</f>
        <v>8</v>
      </c>
      <c r="E89">
        <f>betterSearch(B89,nodes!A:A,nodes!B:B)</f>
        <v>84</v>
      </c>
      <c r="F89" t="s">
        <v>279</v>
      </c>
      <c r="G89" t="s">
        <v>280</v>
      </c>
      <c r="H89" t="s">
        <v>281</v>
      </c>
      <c r="I89" t="s">
        <v>276</v>
      </c>
      <c r="J89" t="str">
        <f t="shared" si="1"/>
        <v>{"source":8,"target":84,"value":1},</v>
      </c>
    </row>
    <row r="90" spans="1:10" x14ac:dyDescent="0.25">
      <c r="A90" t="s">
        <v>7</v>
      </c>
      <c r="B90" t="s">
        <v>86</v>
      </c>
      <c r="C90">
        <v>1</v>
      </c>
      <c r="D90">
        <f>betterSearch(A90,nodes!A:A,nodes!B:B)</f>
        <v>5</v>
      </c>
      <c r="E90">
        <f>betterSearch(B90,nodes!A:A,nodes!B:B)</f>
        <v>84</v>
      </c>
      <c r="F90" t="s">
        <v>279</v>
      </c>
      <c r="G90" t="s">
        <v>280</v>
      </c>
      <c r="H90" t="s">
        <v>281</v>
      </c>
      <c r="I90" t="s">
        <v>276</v>
      </c>
      <c r="J90" t="str">
        <f t="shared" si="1"/>
        <v>{"source":5,"target":84,"value":1},</v>
      </c>
    </row>
    <row r="91" spans="1:10" x14ac:dyDescent="0.25">
      <c r="A91" t="s">
        <v>9</v>
      </c>
      <c r="B91" t="s">
        <v>86</v>
      </c>
      <c r="C91">
        <v>1</v>
      </c>
      <c r="D91">
        <f>betterSearch(A91,nodes!A:A,nodes!B:B)</f>
        <v>7</v>
      </c>
      <c r="E91">
        <f>betterSearch(B91,nodes!A:A,nodes!B:B)</f>
        <v>84</v>
      </c>
      <c r="F91" t="s">
        <v>279</v>
      </c>
      <c r="G91" t="s">
        <v>280</v>
      </c>
      <c r="H91" t="s">
        <v>281</v>
      </c>
      <c r="I91" t="s">
        <v>276</v>
      </c>
      <c r="J91" t="str">
        <f t="shared" si="1"/>
        <v>{"source":7,"target":84,"value":1},</v>
      </c>
    </row>
    <row r="92" spans="1:10" x14ac:dyDescent="0.25">
      <c r="A92" t="s">
        <v>11</v>
      </c>
      <c r="B92" t="s">
        <v>87</v>
      </c>
      <c r="C92">
        <v>1</v>
      </c>
      <c r="D92">
        <f>betterSearch(A92,nodes!A:A,nodes!B:B)</f>
        <v>9</v>
      </c>
      <c r="E92">
        <f>betterSearch(B92,nodes!A:A,nodes!B:B)</f>
        <v>85</v>
      </c>
      <c r="F92" t="s">
        <v>279</v>
      </c>
      <c r="G92" t="s">
        <v>280</v>
      </c>
      <c r="H92" t="s">
        <v>281</v>
      </c>
      <c r="I92" t="s">
        <v>276</v>
      </c>
      <c r="J92" t="str">
        <f t="shared" si="1"/>
        <v>{"source":9,"target":85,"value":1},</v>
      </c>
    </row>
    <row r="93" spans="1:10" x14ac:dyDescent="0.25">
      <c r="A93" t="s">
        <v>7</v>
      </c>
      <c r="B93" t="s">
        <v>87</v>
      </c>
      <c r="C93">
        <v>1</v>
      </c>
      <c r="D93">
        <f>betterSearch(A93,nodes!A:A,nodes!B:B)</f>
        <v>5</v>
      </c>
      <c r="E93">
        <f>betterSearch(B93,nodes!A:A,nodes!B:B)</f>
        <v>85</v>
      </c>
      <c r="F93" t="s">
        <v>279</v>
      </c>
      <c r="G93" t="s">
        <v>280</v>
      </c>
      <c r="H93" t="s">
        <v>281</v>
      </c>
      <c r="I93" t="s">
        <v>276</v>
      </c>
      <c r="J93" t="str">
        <f t="shared" si="1"/>
        <v>{"source":5,"target":85,"value":1},</v>
      </c>
    </row>
    <row r="94" spans="1:10" x14ac:dyDescent="0.25">
      <c r="A94" t="s">
        <v>9</v>
      </c>
      <c r="B94" t="s">
        <v>88</v>
      </c>
      <c r="C94">
        <v>1</v>
      </c>
      <c r="D94">
        <f>betterSearch(A94,nodes!A:A,nodes!B:B)</f>
        <v>7</v>
      </c>
      <c r="E94">
        <f>betterSearch(B94,nodes!A:A,nodes!B:B)</f>
        <v>86</v>
      </c>
      <c r="F94" t="s">
        <v>279</v>
      </c>
      <c r="G94" t="s">
        <v>280</v>
      </c>
      <c r="H94" t="s">
        <v>281</v>
      </c>
      <c r="I94" t="s">
        <v>276</v>
      </c>
      <c r="J94" t="str">
        <f t="shared" si="1"/>
        <v>{"source":7,"target":86,"value":1},</v>
      </c>
    </row>
    <row r="95" spans="1:10" x14ac:dyDescent="0.25">
      <c r="A95" t="s">
        <v>12</v>
      </c>
      <c r="B95" t="s">
        <v>89</v>
      </c>
      <c r="C95">
        <v>1</v>
      </c>
      <c r="D95">
        <f>betterSearch(A95,nodes!A:A,nodes!B:B)</f>
        <v>10</v>
      </c>
      <c r="E95">
        <f>betterSearch(B95,nodes!A:A,nodes!B:B)</f>
        <v>87</v>
      </c>
      <c r="F95" t="s">
        <v>279</v>
      </c>
      <c r="G95" t="s">
        <v>280</v>
      </c>
      <c r="H95" t="s">
        <v>281</v>
      </c>
      <c r="I95" t="s">
        <v>276</v>
      </c>
      <c r="J95" t="str">
        <f t="shared" si="1"/>
        <v>{"source":10,"target":87,"value":1},</v>
      </c>
    </row>
    <row r="96" spans="1:10" x14ac:dyDescent="0.25">
      <c r="A96" t="s">
        <v>13</v>
      </c>
      <c r="B96" t="s">
        <v>89</v>
      </c>
      <c r="C96">
        <v>1</v>
      </c>
      <c r="D96">
        <f>betterSearch(A96,nodes!A:A,nodes!B:B)</f>
        <v>11</v>
      </c>
      <c r="E96">
        <f>betterSearch(B96,nodes!A:A,nodes!B:B)</f>
        <v>87</v>
      </c>
      <c r="F96" t="s">
        <v>279</v>
      </c>
      <c r="G96" t="s">
        <v>280</v>
      </c>
      <c r="H96" t="s">
        <v>281</v>
      </c>
      <c r="I96" t="s">
        <v>276</v>
      </c>
      <c r="J96" t="str">
        <f t="shared" si="1"/>
        <v>{"source":11,"target":87,"value":1},</v>
      </c>
    </row>
    <row r="97" spans="1:10" x14ac:dyDescent="0.25">
      <c r="A97" t="s">
        <v>14</v>
      </c>
      <c r="B97" t="s">
        <v>89</v>
      </c>
      <c r="C97">
        <v>1</v>
      </c>
      <c r="D97">
        <f>betterSearch(A97,nodes!A:A,nodes!B:B)</f>
        <v>12</v>
      </c>
      <c r="E97">
        <f>betterSearch(B97,nodes!A:A,nodes!B:B)</f>
        <v>87</v>
      </c>
      <c r="F97" t="s">
        <v>279</v>
      </c>
      <c r="G97" t="s">
        <v>280</v>
      </c>
      <c r="H97" t="s">
        <v>281</v>
      </c>
      <c r="I97" t="s">
        <v>276</v>
      </c>
      <c r="J97" t="str">
        <f t="shared" si="1"/>
        <v>{"source":12,"target":87,"value":1},</v>
      </c>
    </row>
    <row r="98" spans="1:10" x14ac:dyDescent="0.25">
      <c r="A98" t="s">
        <v>9</v>
      </c>
      <c r="B98" t="s">
        <v>89</v>
      </c>
      <c r="C98">
        <v>1</v>
      </c>
      <c r="D98">
        <f>betterSearch(A98,nodes!A:A,nodes!B:B)</f>
        <v>7</v>
      </c>
      <c r="E98">
        <f>betterSearch(B98,nodes!A:A,nodes!B:B)</f>
        <v>87</v>
      </c>
      <c r="F98" t="s">
        <v>279</v>
      </c>
      <c r="G98" t="s">
        <v>280</v>
      </c>
      <c r="H98" t="s">
        <v>281</v>
      </c>
      <c r="I98" t="s">
        <v>276</v>
      </c>
      <c r="J98" t="str">
        <f t="shared" si="1"/>
        <v>{"source":7,"target":87,"value":1},</v>
      </c>
    </row>
    <row r="99" spans="1:10" x14ac:dyDescent="0.25">
      <c r="A99" t="s">
        <v>15</v>
      </c>
      <c r="B99" t="s">
        <v>90</v>
      </c>
      <c r="C99">
        <v>1</v>
      </c>
      <c r="D99">
        <f>betterSearch(A99,nodes!A:A,nodes!B:B)</f>
        <v>13</v>
      </c>
      <c r="E99">
        <f>betterSearch(B99,nodes!A:A,nodes!B:B)</f>
        <v>88</v>
      </c>
      <c r="F99" t="s">
        <v>279</v>
      </c>
      <c r="G99" t="s">
        <v>280</v>
      </c>
      <c r="H99" t="s">
        <v>281</v>
      </c>
      <c r="I99" t="s">
        <v>276</v>
      </c>
      <c r="J99" t="str">
        <f t="shared" si="1"/>
        <v>{"source":13,"target":88,"value":1},</v>
      </c>
    </row>
    <row r="100" spans="1:10" x14ac:dyDescent="0.25">
      <c r="A100" t="s">
        <v>16</v>
      </c>
      <c r="B100" t="s">
        <v>90</v>
      </c>
      <c r="C100">
        <v>1</v>
      </c>
      <c r="D100">
        <f>betterSearch(A100,nodes!A:A,nodes!B:B)</f>
        <v>14</v>
      </c>
      <c r="E100">
        <f>betterSearch(B100,nodes!A:A,nodes!B:B)</f>
        <v>88</v>
      </c>
      <c r="F100" t="s">
        <v>279</v>
      </c>
      <c r="G100" t="s">
        <v>280</v>
      </c>
      <c r="H100" t="s">
        <v>281</v>
      </c>
      <c r="I100" t="s">
        <v>276</v>
      </c>
      <c r="J100" t="str">
        <f t="shared" si="1"/>
        <v>{"source":14,"target":88,"value":1},</v>
      </c>
    </row>
    <row r="101" spans="1:10" x14ac:dyDescent="0.25">
      <c r="A101" t="s">
        <v>17</v>
      </c>
      <c r="B101" t="s">
        <v>90</v>
      </c>
      <c r="C101">
        <v>1</v>
      </c>
      <c r="D101">
        <f>betterSearch(A101,nodes!A:A,nodes!B:B)</f>
        <v>15</v>
      </c>
      <c r="E101">
        <f>betterSearch(B101,nodes!A:A,nodes!B:B)</f>
        <v>88</v>
      </c>
      <c r="F101" t="s">
        <v>279</v>
      </c>
      <c r="G101" t="s">
        <v>280</v>
      </c>
      <c r="H101" t="s">
        <v>281</v>
      </c>
      <c r="I101" t="s">
        <v>276</v>
      </c>
      <c r="J101" t="str">
        <f t="shared" si="1"/>
        <v>{"source":15,"target":88,"value":1},</v>
      </c>
    </row>
    <row r="102" spans="1:10" x14ac:dyDescent="0.25">
      <c r="A102" t="s">
        <v>18</v>
      </c>
      <c r="B102" t="s">
        <v>91</v>
      </c>
      <c r="C102">
        <v>1</v>
      </c>
      <c r="D102">
        <f>betterSearch(A102,nodes!A:A,nodes!B:B)</f>
        <v>16</v>
      </c>
      <c r="E102">
        <f>betterSearch(B102,nodes!A:A,nodes!B:B)</f>
        <v>89</v>
      </c>
      <c r="F102" t="s">
        <v>279</v>
      </c>
      <c r="G102" t="s">
        <v>280</v>
      </c>
      <c r="H102" t="s">
        <v>281</v>
      </c>
      <c r="I102" t="s">
        <v>276</v>
      </c>
      <c r="J102" t="str">
        <f t="shared" si="1"/>
        <v>{"source":16,"target":89,"value":1},</v>
      </c>
    </row>
    <row r="103" spans="1:10" x14ac:dyDescent="0.25">
      <c r="A103" t="s">
        <v>19</v>
      </c>
      <c r="B103" t="s">
        <v>91</v>
      </c>
      <c r="C103">
        <v>1</v>
      </c>
      <c r="D103">
        <f>betterSearch(A103,nodes!A:A,nodes!B:B)</f>
        <v>17</v>
      </c>
      <c r="E103">
        <f>betterSearch(B103,nodes!A:A,nodes!B:B)</f>
        <v>89</v>
      </c>
      <c r="F103" t="s">
        <v>279</v>
      </c>
      <c r="G103" t="s">
        <v>280</v>
      </c>
      <c r="H103" t="s">
        <v>281</v>
      </c>
      <c r="I103" t="s">
        <v>276</v>
      </c>
      <c r="J103" t="str">
        <f t="shared" si="1"/>
        <v>{"source":17,"target":89,"value":1},</v>
      </c>
    </row>
    <row r="104" spans="1:10" x14ac:dyDescent="0.25">
      <c r="A104" t="s">
        <v>18</v>
      </c>
      <c r="B104" t="s">
        <v>92</v>
      </c>
      <c r="C104">
        <v>1</v>
      </c>
      <c r="D104">
        <f>betterSearch(A104,nodes!A:A,nodes!B:B)</f>
        <v>16</v>
      </c>
      <c r="E104">
        <f>betterSearch(B104,nodes!A:A,nodes!B:B)</f>
        <v>90</v>
      </c>
      <c r="F104" t="s">
        <v>279</v>
      </c>
      <c r="G104" t="s">
        <v>280</v>
      </c>
      <c r="H104" t="s">
        <v>281</v>
      </c>
      <c r="I104" t="s">
        <v>276</v>
      </c>
      <c r="J104" t="str">
        <f t="shared" si="1"/>
        <v>{"source":16,"target":90,"value":1},</v>
      </c>
    </row>
    <row r="105" spans="1:10" x14ac:dyDescent="0.25">
      <c r="A105" t="s">
        <v>19</v>
      </c>
      <c r="B105" t="s">
        <v>92</v>
      </c>
      <c r="C105">
        <v>1</v>
      </c>
      <c r="D105">
        <f>betterSearch(A105,nodes!A:A,nodes!B:B)</f>
        <v>17</v>
      </c>
      <c r="E105">
        <f>betterSearch(B105,nodes!A:A,nodes!B:B)</f>
        <v>90</v>
      </c>
      <c r="F105" t="s">
        <v>279</v>
      </c>
      <c r="G105" t="s">
        <v>280</v>
      </c>
      <c r="H105" t="s">
        <v>281</v>
      </c>
      <c r="I105" t="s">
        <v>276</v>
      </c>
      <c r="J105" t="str">
        <f t="shared" si="1"/>
        <v>{"source":17,"target":90,"value":1},</v>
      </c>
    </row>
    <row r="106" spans="1:10" x14ac:dyDescent="0.25">
      <c r="A106" t="s">
        <v>20</v>
      </c>
      <c r="B106" t="s">
        <v>93</v>
      </c>
      <c r="C106">
        <v>1</v>
      </c>
      <c r="D106">
        <f>betterSearch(A106,nodes!A:A,nodes!B:B)</f>
        <v>18</v>
      </c>
      <c r="E106">
        <f>betterSearch(B106,nodes!A:A,nodes!B:B)</f>
        <v>91</v>
      </c>
      <c r="F106" t="s">
        <v>279</v>
      </c>
      <c r="G106" t="s">
        <v>280</v>
      </c>
      <c r="H106" t="s">
        <v>281</v>
      </c>
      <c r="I106" t="s">
        <v>276</v>
      </c>
      <c r="J106" t="str">
        <f t="shared" si="1"/>
        <v>{"source":18,"target":91,"value":1},</v>
      </c>
    </row>
    <row r="107" spans="1:10" x14ac:dyDescent="0.25">
      <c r="A107" t="s">
        <v>20</v>
      </c>
      <c r="B107" t="s">
        <v>94</v>
      </c>
      <c r="C107">
        <v>1</v>
      </c>
      <c r="D107">
        <f>betterSearch(A107,nodes!A:A,nodes!B:B)</f>
        <v>18</v>
      </c>
      <c r="E107">
        <f>betterSearch(B107,nodes!A:A,nodes!B:B)</f>
        <v>92</v>
      </c>
      <c r="F107" t="s">
        <v>279</v>
      </c>
      <c r="G107" t="s">
        <v>280</v>
      </c>
      <c r="H107" t="s">
        <v>281</v>
      </c>
      <c r="I107" t="s">
        <v>276</v>
      </c>
      <c r="J107" t="str">
        <f t="shared" si="1"/>
        <v>{"source":18,"target":92,"value":1},</v>
      </c>
    </row>
    <row r="108" spans="1:10" x14ac:dyDescent="0.25">
      <c r="A108" t="s">
        <v>21</v>
      </c>
      <c r="B108" t="s">
        <v>95</v>
      </c>
      <c r="C108">
        <v>1</v>
      </c>
      <c r="D108">
        <f>betterSearch(A108,nodes!A:A,nodes!B:B)</f>
        <v>19</v>
      </c>
      <c r="E108">
        <f>betterSearch(B108,nodes!A:A,nodes!B:B)</f>
        <v>93</v>
      </c>
      <c r="F108" t="s">
        <v>279</v>
      </c>
      <c r="G108" t="s">
        <v>280</v>
      </c>
      <c r="H108" t="s">
        <v>281</v>
      </c>
      <c r="I108" t="s">
        <v>276</v>
      </c>
      <c r="J108" t="str">
        <f t="shared" si="1"/>
        <v>{"source":19,"target":93,"value":1},</v>
      </c>
    </row>
    <row r="109" spans="1:10" x14ac:dyDescent="0.25">
      <c r="A109" t="s">
        <v>22</v>
      </c>
      <c r="B109" t="s">
        <v>96</v>
      </c>
      <c r="C109">
        <v>1</v>
      </c>
      <c r="D109">
        <f>betterSearch(A109,nodes!A:A,nodes!B:B)</f>
        <v>20</v>
      </c>
      <c r="E109">
        <f>betterSearch(B109,nodes!A:A,nodes!B:B)</f>
        <v>94</v>
      </c>
      <c r="F109" t="s">
        <v>279</v>
      </c>
      <c r="G109" t="s">
        <v>280</v>
      </c>
      <c r="H109" t="s">
        <v>281</v>
      </c>
      <c r="I109" t="s">
        <v>276</v>
      </c>
      <c r="J109" t="str">
        <f t="shared" si="1"/>
        <v>{"source":20,"target":94,"value":1},</v>
      </c>
    </row>
    <row r="110" spans="1:10" x14ac:dyDescent="0.25">
      <c r="A110" t="s">
        <v>23</v>
      </c>
      <c r="B110" t="s">
        <v>96</v>
      </c>
      <c r="C110">
        <v>1</v>
      </c>
      <c r="D110">
        <f>betterSearch(A110,nodes!A:A,nodes!B:B)</f>
        <v>21</v>
      </c>
      <c r="E110">
        <f>betterSearch(B110,nodes!A:A,nodes!B:B)</f>
        <v>94</v>
      </c>
      <c r="F110" t="s">
        <v>279</v>
      </c>
      <c r="G110" t="s">
        <v>280</v>
      </c>
      <c r="H110" t="s">
        <v>281</v>
      </c>
      <c r="I110" t="s">
        <v>276</v>
      </c>
      <c r="J110" t="str">
        <f t="shared" si="1"/>
        <v>{"source":21,"target":94,"value":1},</v>
      </c>
    </row>
    <row r="111" spans="1:10" x14ac:dyDescent="0.25">
      <c r="A111" t="s">
        <v>9</v>
      </c>
      <c r="B111" t="s">
        <v>97</v>
      </c>
      <c r="C111">
        <v>1</v>
      </c>
      <c r="D111">
        <f>betterSearch(A111,nodes!A:A,nodes!B:B)</f>
        <v>7</v>
      </c>
      <c r="E111">
        <f>betterSearch(B111,nodes!A:A,nodes!B:B)</f>
        <v>95</v>
      </c>
      <c r="F111" t="s">
        <v>279</v>
      </c>
      <c r="G111" t="s">
        <v>280</v>
      </c>
      <c r="H111" t="s">
        <v>281</v>
      </c>
      <c r="I111" t="s">
        <v>276</v>
      </c>
      <c r="J111" t="str">
        <f t="shared" si="1"/>
        <v>{"source":7,"target":95,"value":1},</v>
      </c>
    </row>
    <row r="112" spans="1:10" x14ac:dyDescent="0.25">
      <c r="A112" t="s">
        <v>9</v>
      </c>
      <c r="B112" t="s">
        <v>98</v>
      </c>
      <c r="C112">
        <v>1</v>
      </c>
      <c r="D112">
        <f>betterSearch(A112,nodes!A:A,nodes!B:B)</f>
        <v>7</v>
      </c>
      <c r="E112">
        <f>betterSearch(B112,nodes!A:A,nodes!B:B)</f>
        <v>96</v>
      </c>
      <c r="F112" t="s">
        <v>279</v>
      </c>
      <c r="G112" t="s">
        <v>280</v>
      </c>
      <c r="H112" t="s">
        <v>281</v>
      </c>
      <c r="I112" t="s">
        <v>276</v>
      </c>
      <c r="J112" t="str">
        <f t="shared" si="1"/>
        <v>{"source":7,"target":96,"value":1},</v>
      </c>
    </row>
    <row r="113" spans="1:10" x14ac:dyDescent="0.25">
      <c r="A113" t="s">
        <v>24</v>
      </c>
      <c r="B113" t="s">
        <v>99</v>
      </c>
      <c r="C113">
        <v>1</v>
      </c>
      <c r="D113">
        <f>betterSearch(A113,nodes!A:A,nodes!B:B)</f>
        <v>22</v>
      </c>
      <c r="E113">
        <f>betterSearch(B113,nodes!A:A,nodes!B:B)</f>
        <v>97</v>
      </c>
      <c r="F113" t="s">
        <v>279</v>
      </c>
      <c r="G113" t="s">
        <v>280</v>
      </c>
      <c r="H113" t="s">
        <v>281</v>
      </c>
      <c r="I113" t="s">
        <v>276</v>
      </c>
      <c r="J113" t="str">
        <f t="shared" si="1"/>
        <v>{"source":22,"target":97,"value":1},</v>
      </c>
    </row>
    <row r="114" spans="1:10" x14ac:dyDescent="0.25">
      <c r="A114" t="s">
        <v>24</v>
      </c>
      <c r="B114" t="s">
        <v>100</v>
      </c>
      <c r="C114">
        <v>1</v>
      </c>
      <c r="D114">
        <f>betterSearch(A114,nodes!A:A,nodes!B:B)</f>
        <v>22</v>
      </c>
      <c r="E114">
        <f>betterSearch(B114,nodes!A:A,nodes!B:B)</f>
        <v>98</v>
      </c>
      <c r="F114" t="s">
        <v>279</v>
      </c>
      <c r="G114" t="s">
        <v>280</v>
      </c>
      <c r="H114" t="s">
        <v>281</v>
      </c>
      <c r="I114" t="s">
        <v>276</v>
      </c>
      <c r="J114" t="str">
        <f t="shared" si="1"/>
        <v>{"source":22,"target":98,"value":1},</v>
      </c>
    </row>
    <row r="115" spans="1:10" x14ac:dyDescent="0.25">
      <c r="A115" t="s">
        <v>25</v>
      </c>
      <c r="B115" t="s">
        <v>101</v>
      </c>
      <c r="C115">
        <v>1</v>
      </c>
      <c r="D115">
        <f>betterSearch(A115,nodes!A:A,nodes!B:B)</f>
        <v>23</v>
      </c>
      <c r="E115">
        <f>betterSearch(B115,nodes!A:A,nodes!B:B)</f>
        <v>99</v>
      </c>
      <c r="F115" t="s">
        <v>279</v>
      </c>
      <c r="G115" t="s">
        <v>280</v>
      </c>
      <c r="H115" t="s">
        <v>281</v>
      </c>
      <c r="I115" t="s">
        <v>276</v>
      </c>
      <c r="J115" t="str">
        <f t="shared" si="1"/>
        <v>{"source":23,"target":99,"value":1},</v>
      </c>
    </row>
    <row r="116" spans="1:10" x14ac:dyDescent="0.25">
      <c r="A116" t="s">
        <v>26</v>
      </c>
      <c r="B116" t="s">
        <v>102</v>
      </c>
      <c r="C116">
        <v>1</v>
      </c>
      <c r="D116">
        <f>betterSearch(A116,nodes!A:A,nodes!B:B)</f>
        <v>24</v>
      </c>
      <c r="E116">
        <f>betterSearch(B116,nodes!A:A,nodes!B:B)</f>
        <v>100</v>
      </c>
      <c r="F116" t="s">
        <v>279</v>
      </c>
      <c r="G116" t="s">
        <v>280</v>
      </c>
      <c r="H116" t="s">
        <v>281</v>
      </c>
      <c r="I116" t="s">
        <v>276</v>
      </c>
      <c r="J116" t="str">
        <f t="shared" si="1"/>
        <v>{"source":24,"target":100,"value":1},</v>
      </c>
    </row>
    <row r="117" spans="1:10" x14ac:dyDescent="0.25">
      <c r="A117" t="s">
        <v>27</v>
      </c>
      <c r="B117" t="s">
        <v>103</v>
      </c>
      <c r="C117">
        <v>1</v>
      </c>
      <c r="D117">
        <f>betterSearch(A117,nodes!A:A,nodes!B:B)</f>
        <v>25</v>
      </c>
      <c r="E117">
        <f>betterSearch(B117,nodes!A:A,nodes!B:B)</f>
        <v>101</v>
      </c>
      <c r="F117" t="s">
        <v>279</v>
      </c>
      <c r="G117" t="s">
        <v>280</v>
      </c>
      <c r="H117" t="s">
        <v>281</v>
      </c>
      <c r="I117" t="s">
        <v>276</v>
      </c>
      <c r="J117" t="str">
        <f t="shared" si="1"/>
        <v>{"source":25,"target":101,"value":1},</v>
      </c>
    </row>
    <row r="118" spans="1:10" x14ac:dyDescent="0.25">
      <c r="A118" t="s">
        <v>28</v>
      </c>
      <c r="B118" t="s">
        <v>104</v>
      </c>
      <c r="C118">
        <v>1</v>
      </c>
      <c r="D118">
        <f>betterSearch(A118,nodes!A:A,nodes!B:B)</f>
        <v>26</v>
      </c>
      <c r="E118">
        <f>betterSearch(B118,nodes!A:A,nodes!B:B)</f>
        <v>102</v>
      </c>
      <c r="F118" t="s">
        <v>279</v>
      </c>
      <c r="G118" t="s">
        <v>280</v>
      </c>
      <c r="H118" t="s">
        <v>281</v>
      </c>
      <c r="I118" t="s">
        <v>276</v>
      </c>
      <c r="J118" t="str">
        <f t="shared" si="1"/>
        <v>{"source":26,"target":102,"value":1},</v>
      </c>
    </row>
    <row r="119" spans="1:10" x14ac:dyDescent="0.25">
      <c r="A119" t="s">
        <v>26</v>
      </c>
      <c r="B119" t="s">
        <v>105</v>
      </c>
      <c r="C119">
        <v>1</v>
      </c>
      <c r="D119">
        <f>betterSearch(A119,nodes!A:A,nodes!B:B)</f>
        <v>24</v>
      </c>
      <c r="E119">
        <f>betterSearch(B119,nodes!A:A,nodes!B:B)</f>
        <v>103</v>
      </c>
      <c r="F119" t="s">
        <v>279</v>
      </c>
      <c r="G119" t="s">
        <v>280</v>
      </c>
      <c r="H119" t="s">
        <v>281</v>
      </c>
      <c r="I119" t="s">
        <v>276</v>
      </c>
      <c r="J119" t="str">
        <f t="shared" si="1"/>
        <v>{"source":24,"target":103,"value":1},</v>
      </c>
    </row>
    <row r="120" spans="1:10" x14ac:dyDescent="0.25">
      <c r="A120" t="s">
        <v>29</v>
      </c>
      <c r="B120" t="s">
        <v>105</v>
      </c>
      <c r="C120">
        <v>1</v>
      </c>
      <c r="D120">
        <f>betterSearch(A120,nodes!A:A,nodes!B:B)</f>
        <v>27</v>
      </c>
      <c r="E120">
        <f>betterSearch(B120,nodes!A:A,nodes!B:B)</f>
        <v>103</v>
      </c>
      <c r="F120" t="s">
        <v>279</v>
      </c>
      <c r="G120" t="s">
        <v>280</v>
      </c>
      <c r="H120" t="s">
        <v>281</v>
      </c>
      <c r="I120" t="s">
        <v>276</v>
      </c>
      <c r="J120" t="str">
        <f t="shared" si="1"/>
        <v>{"source":27,"target":103,"value":1},</v>
      </c>
    </row>
    <row r="121" spans="1:10" x14ac:dyDescent="0.25">
      <c r="A121" t="s">
        <v>30</v>
      </c>
      <c r="B121" t="s">
        <v>106</v>
      </c>
      <c r="C121">
        <v>1</v>
      </c>
      <c r="D121">
        <f>betterSearch(A121,nodes!A:A,nodes!B:B)</f>
        <v>28</v>
      </c>
      <c r="E121">
        <f>betterSearch(B121,nodes!A:A,nodes!B:B)</f>
        <v>104</v>
      </c>
      <c r="F121" t="s">
        <v>279</v>
      </c>
      <c r="G121" t="s">
        <v>280</v>
      </c>
      <c r="H121" t="s">
        <v>281</v>
      </c>
      <c r="I121" t="s">
        <v>276</v>
      </c>
      <c r="J121" t="str">
        <f t="shared" si="1"/>
        <v>{"source":28,"target":104,"value":1},</v>
      </c>
    </row>
    <row r="122" spans="1:10" x14ac:dyDescent="0.25">
      <c r="A122" t="s">
        <v>31</v>
      </c>
      <c r="B122" t="s">
        <v>106</v>
      </c>
      <c r="C122">
        <v>1</v>
      </c>
      <c r="D122">
        <f>betterSearch(A122,nodes!A:A,nodes!B:B)</f>
        <v>29</v>
      </c>
      <c r="E122">
        <f>betterSearch(B122,nodes!A:A,nodes!B:B)</f>
        <v>104</v>
      </c>
      <c r="F122" t="s">
        <v>279</v>
      </c>
      <c r="G122" t="s">
        <v>280</v>
      </c>
      <c r="H122" t="s">
        <v>281</v>
      </c>
      <c r="I122" t="s">
        <v>276</v>
      </c>
      <c r="J122" t="str">
        <f t="shared" si="1"/>
        <v>{"source":29,"target":104,"value":1},</v>
      </c>
    </row>
    <row r="123" spans="1:10" x14ac:dyDescent="0.25">
      <c r="A123" t="s">
        <v>22</v>
      </c>
      <c r="B123" t="s">
        <v>107</v>
      </c>
      <c r="C123">
        <v>1</v>
      </c>
      <c r="D123">
        <f>betterSearch(A123,nodes!A:A,nodes!B:B)</f>
        <v>20</v>
      </c>
      <c r="E123">
        <f>betterSearch(B123,nodes!A:A,nodes!B:B)</f>
        <v>105</v>
      </c>
      <c r="F123" t="s">
        <v>279</v>
      </c>
      <c r="G123" t="s">
        <v>280</v>
      </c>
      <c r="H123" t="s">
        <v>281</v>
      </c>
      <c r="I123" t="s">
        <v>276</v>
      </c>
      <c r="J123" t="str">
        <f t="shared" si="1"/>
        <v>{"source":20,"target":105,"value":1},</v>
      </c>
    </row>
    <row r="124" spans="1:10" x14ac:dyDescent="0.25">
      <c r="A124" t="s">
        <v>28</v>
      </c>
      <c r="B124" t="s">
        <v>107</v>
      </c>
      <c r="C124">
        <v>1</v>
      </c>
      <c r="D124">
        <f>betterSearch(A124,nodes!A:A,nodes!B:B)</f>
        <v>26</v>
      </c>
      <c r="E124">
        <f>betterSearch(B124,nodes!A:A,nodes!B:B)</f>
        <v>105</v>
      </c>
      <c r="F124" t="s">
        <v>279</v>
      </c>
      <c r="G124" t="s">
        <v>280</v>
      </c>
      <c r="H124" t="s">
        <v>281</v>
      </c>
      <c r="I124" t="s">
        <v>276</v>
      </c>
      <c r="J124" t="str">
        <f t="shared" si="1"/>
        <v>{"source":26,"target":105,"value":1},</v>
      </c>
    </row>
    <row r="125" spans="1:10" x14ac:dyDescent="0.25">
      <c r="A125" t="s">
        <v>28</v>
      </c>
      <c r="B125" t="s">
        <v>108</v>
      </c>
      <c r="C125">
        <v>1</v>
      </c>
      <c r="D125">
        <f>betterSearch(A125,nodes!A:A,nodes!B:B)</f>
        <v>26</v>
      </c>
      <c r="E125">
        <f>betterSearch(B125,nodes!A:A,nodes!B:B)</f>
        <v>106</v>
      </c>
      <c r="F125" t="s">
        <v>279</v>
      </c>
      <c r="G125" t="s">
        <v>280</v>
      </c>
      <c r="H125" t="s">
        <v>281</v>
      </c>
      <c r="I125" t="s">
        <v>276</v>
      </c>
      <c r="J125" t="str">
        <f t="shared" si="1"/>
        <v>{"source":26,"target":106,"value":1},</v>
      </c>
    </row>
    <row r="126" spans="1:10" x14ac:dyDescent="0.25">
      <c r="A126" t="s">
        <v>22</v>
      </c>
      <c r="B126" t="s">
        <v>109</v>
      </c>
      <c r="C126">
        <v>1</v>
      </c>
      <c r="D126">
        <f>betterSearch(A126,nodes!A:A,nodes!B:B)</f>
        <v>20</v>
      </c>
      <c r="E126">
        <f>betterSearch(B126,nodes!A:A,nodes!B:B)</f>
        <v>107</v>
      </c>
      <c r="F126" t="s">
        <v>279</v>
      </c>
      <c r="G126" t="s">
        <v>280</v>
      </c>
      <c r="H126" t="s">
        <v>281</v>
      </c>
      <c r="I126" t="s">
        <v>276</v>
      </c>
      <c r="J126" t="str">
        <f t="shared" si="1"/>
        <v>{"source":20,"target":107,"value":1},</v>
      </c>
    </row>
    <row r="127" spans="1:10" x14ac:dyDescent="0.25">
      <c r="A127" t="s">
        <v>28</v>
      </c>
      <c r="B127" t="s">
        <v>109</v>
      </c>
      <c r="C127">
        <v>1</v>
      </c>
      <c r="D127">
        <f>betterSearch(A127,nodes!A:A,nodes!B:B)</f>
        <v>26</v>
      </c>
      <c r="E127">
        <f>betterSearch(B127,nodes!A:A,nodes!B:B)</f>
        <v>107</v>
      </c>
      <c r="F127" t="s">
        <v>279</v>
      </c>
      <c r="G127" t="s">
        <v>280</v>
      </c>
      <c r="H127" t="s">
        <v>281</v>
      </c>
      <c r="I127" t="s">
        <v>276</v>
      </c>
      <c r="J127" t="str">
        <f t="shared" si="1"/>
        <v>{"source":26,"target":107,"value":1},</v>
      </c>
    </row>
    <row r="128" spans="1:10" x14ac:dyDescent="0.25">
      <c r="A128" t="s">
        <v>17</v>
      </c>
      <c r="B128" t="s">
        <v>110</v>
      </c>
      <c r="C128">
        <v>1</v>
      </c>
      <c r="D128">
        <f>betterSearch(A128,nodes!A:A,nodes!B:B)</f>
        <v>15</v>
      </c>
      <c r="E128">
        <f>betterSearch(B128,nodes!A:A,nodes!B:B)</f>
        <v>108</v>
      </c>
      <c r="F128" t="s">
        <v>279</v>
      </c>
      <c r="G128" t="s">
        <v>280</v>
      </c>
      <c r="H128" t="s">
        <v>281</v>
      </c>
      <c r="I128" t="s">
        <v>276</v>
      </c>
      <c r="J128" t="str">
        <f t="shared" si="1"/>
        <v>{"source":15,"target":108,"value":1},</v>
      </c>
    </row>
    <row r="129" spans="1:10" x14ac:dyDescent="0.25">
      <c r="A129" t="s">
        <v>17</v>
      </c>
      <c r="B129" t="s">
        <v>111</v>
      </c>
      <c r="C129">
        <v>1</v>
      </c>
      <c r="D129">
        <f>betterSearch(A129,nodes!A:A,nodes!B:B)</f>
        <v>15</v>
      </c>
      <c r="E129">
        <f>betterSearch(B129,nodes!A:A,nodes!B:B)</f>
        <v>109</v>
      </c>
      <c r="F129" t="s">
        <v>279</v>
      </c>
      <c r="G129" t="s">
        <v>280</v>
      </c>
      <c r="H129" t="s">
        <v>281</v>
      </c>
      <c r="I129" t="s">
        <v>276</v>
      </c>
      <c r="J129" t="str">
        <f t="shared" si="1"/>
        <v>{"source":15,"target":109,"value":1},</v>
      </c>
    </row>
    <row r="130" spans="1:10" x14ac:dyDescent="0.25">
      <c r="A130" t="s">
        <v>17</v>
      </c>
      <c r="B130" t="s">
        <v>112</v>
      </c>
      <c r="C130">
        <v>1</v>
      </c>
      <c r="D130">
        <f>betterSearch(A130,nodes!A:A,nodes!B:B)</f>
        <v>15</v>
      </c>
      <c r="E130">
        <f>betterSearch(B130,nodes!A:A,nodes!B:B)</f>
        <v>110</v>
      </c>
      <c r="F130" t="s">
        <v>279</v>
      </c>
      <c r="G130" t="s">
        <v>280</v>
      </c>
      <c r="H130" t="s">
        <v>281</v>
      </c>
      <c r="I130" t="s">
        <v>276</v>
      </c>
      <c r="J130" t="str">
        <f t="shared" si="1"/>
        <v>{"source":15,"target":110,"value":1},</v>
      </c>
    </row>
    <row r="131" spans="1:10" x14ac:dyDescent="0.25">
      <c r="A131" t="s">
        <v>17</v>
      </c>
      <c r="B131" t="s">
        <v>113</v>
      </c>
      <c r="C131">
        <v>1</v>
      </c>
      <c r="D131">
        <f>betterSearch(A131,nodes!A:A,nodes!B:B)</f>
        <v>15</v>
      </c>
      <c r="E131">
        <f>betterSearch(B131,nodes!A:A,nodes!B:B)</f>
        <v>111</v>
      </c>
      <c r="F131" t="s">
        <v>279</v>
      </c>
      <c r="G131" t="s">
        <v>280</v>
      </c>
      <c r="H131" t="s">
        <v>281</v>
      </c>
      <c r="I131" t="s">
        <v>276</v>
      </c>
      <c r="J131" t="str">
        <f t="shared" ref="J131:J194" si="2">CONCATENATE(F131,D131,G131,E131,H131,C131,I131)</f>
        <v>{"source":15,"target":111,"value":1},</v>
      </c>
    </row>
    <row r="132" spans="1:10" x14ac:dyDescent="0.25">
      <c r="A132" t="s">
        <v>17</v>
      </c>
      <c r="B132" t="s">
        <v>114</v>
      </c>
      <c r="C132">
        <v>1</v>
      </c>
      <c r="D132">
        <f>betterSearch(A132,nodes!A:A,nodes!B:B)</f>
        <v>15</v>
      </c>
      <c r="E132">
        <f>betterSearch(B132,nodes!A:A,nodes!B:B)</f>
        <v>112</v>
      </c>
      <c r="F132" t="s">
        <v>279</v>
      </c>
      <c r="G132" t="s">
        <v>280</v>
      </c>
      <c r="H132" t="s">
        <v>281</v>
      </c>
      <c r="I132" t="s">
        <v>276</v>
      </c>
      <c r="J132" t="str">
        <f t="shared" si="2"/>
        <v>{"source":15,"target":112,"value":1},</v>
      </c>
    </row>
    <row r="133" spans="1:10" x14ac:dyDescent="0.25">
      <c r="A133" t="s">
        <v>17</v>
      </c>
      <c r="B133" t="s">
        <v>115</v>
      </c>
      <c r="C133">
        <v>1</v>
      </c>
      <c r="D133">
        <f>betterSearch(A133,nodes!A:A,nodes!B:B)</f>
        <v>15</v>
      </c>
      <c r="E133">
        <f>betterSearch(B133,nodes!A:A,nodes!B:B)</f>
        <v>113</v>
      </c>
      <c r="F133" t="s">
        <v>279</v>
      </c>
      <c r="G133" t="s">
        <v>280</v>
      </c>
      <c r="H133" t="s">
        <v>281</v>
      </c>
      <c r="I133" t="s">
        <v>276</v>
      </c>
      <c r="J133" t="str">
        <f t="shared" si="2"/>
        <v>{"source":15,"target":113,"value":1},</v>
      </c>
    </row>
    <row r="134" spans="1:10" x14ac:dyDescent="0.25">
      <c r="A134" t="s">
        <v>17</v>
      </c>
      <c r="B134" t="s">
        <v>116</v>
      </c>
      <c r="C134">
        <v>1</v>
      </c>
      <c r="D134">
        <f>betterSearch(A134,nodes!A:A,nodes!B:B)</f>
        <v>15</v>
      </c>
      <c r="E134">
        <f>betterSearch(B134,nodes!A:A,nodes!B:B)</f>
        <v>114</v>
      </c>
      <c r="F134" t="s">
        <v>279</v>
      </c>
      <c r="G134" t="s">
        <v>280</v>
      </c>
      <c r="H134" t="s">
        <v>281</v>
      </c>
      <c r="I134" t="s">
        <v>276</v>
      </c>
      <c r="J134" t="str">
        <f t="shared" si="2"/>
        <v>{"source":15,"target":114,"value":1},</v>
      </c>
    </row>
    <row r="135" spans="1:10" x14ac:dyDescent="0.25">
      <c r="A135" t="s">
        <v>17</v>
      </c>
      <c r="B135" t="s">
        <v>117</v>
      </c>
      <c r="C135">
        <v>1</v>
      </c>
      <c r="D135">
        <f>betterSearch(A135,nodes!A:A,nodes!B:B)</f>
        <v>15</v>
      </c>
      <c r="E135">
        <f>betterSearch(B135,nodes!A:A,nodes!B:B)</f>
        <v>115</v>
      </c>
      <c r="F135" t="s">
        <v>279</v>
      </c>
      <c r="G135" t="s">
        <v>280</v>
      </c>
      <c r="H135" t="s">
        <v>281</v>
      </c>
      <c r="I135" t="s">
        <v>276</v>
      </c>
      <c r="J135" t="str">
        <f t="shared" si="2"/>
        <v>{"source":15,"target":115,"value":1},</v>
      </c>
    </row>
    <row r="136" spans="1:10" x14ac:dyDescent="0.25">
      <c r="A136" t="s">
        <v>17</v>
      </c>
      <c r="B136" t="s">
        <v>118</v>
      </c>
      <c r="C136">
        <v>1</v>
      </c>
      <c r="D136">
        <f>betterSearch(A136,nodes!A:A,nodes!B:B)</f>
        <v>15</v>
      </c>
      <c r="E136">
        <f>betterSearch(B136,nodes!A:A,nodes!B:B)</f>
        <v>116</v>
      </c>
      <c r="F136" t="s">
        <v>279</v>
      </c>
      <c r="G136" t="s">
        <v>280</v>
      </c>
      <c r="H136" t="s">
        <v>281</v>
      </c>
      <c r="I136" t="s">
        <v>276</v>
      </c>
      <c r="J136" t="str">
        <f t="shared" si="2"/>
        <v>{"source":15,"target":116,"value":1},</v>
      </c>
    </row>
    <row r="137" spans="1:10" x14ac:dyDescent="0.25">
      <c r="A137" t="s">
        <v>17</v>
      </c>
      <c r="B137" t="s">
        <v>119</v>
      </c>
      <c r="C137">
        <v>1</v>
      </c>
      <c r="D137">
        <f>betterSearch(A137,nodes!A:A,nodes!B:B)</f>
        <v>15</v>
      </c>
      <c r="E137">
        <f>betterSearch(B137,nodes!A:A,nodes!B:B)</f>
        <v>117</v>
      </c>
      <c r="F137" t="s">
        <v>279</v>
      </c>
      <c r="G137" t="s">
        <v>280</v>
      </c>
      <c r="H137" t="s">
        <v>281</v>
      </c>
      <c r="I137" t="s">
        <v>276</v>
      </c>
      <c r="J137" t="str">
        <f t="shared" si="2"/>
        <v>{"source":15,"target":117,"value":1},</v>
      </c>
    </row>
    <row r="138" spans="1:10" x14ac:dyDescent="0.25">
      <c r="A138" t="s">
        <v>15</v>
      </c>
      <c r="B138" t="s">
        <v>120</v>
      </c>
      <c r="C138">
        <v>1</v>
      </c>
      <c r="D138">
        <f>betterSearch(A138,nodes!A:A,nodes!B:B)</f>
        <v>13</v>
      </c>
      <c r="E138">
        <f>betterSearch(B138,nodes!A:A,nodes!B:B)</f>
        <v>118</v>
      </c>
      <c r="F138" t="s">
        <v>279</v>
      </c>
      <c r="G138" t="s">
        <v>280</v>
      </c>
      <c r="H138" t="s">
        <v>281</v>
      </c>
      <c r="I138" t="s">
        <v>276</v>
      </c>
      <c r="J138" t="str">
        <f t="shared" si="2"/>
        <v>{"source":13,"target":118,"value":1},</v>
      </c>
    </row>
    <row r="139" spans="1:10" x14ac:dyDescent="0.25">
      <c r="A139" t="s">
        <v>17</v>
      </c>
      <c r="B139" t="s">
        <v>121</v>
      </c>
      <c r="C139">
        <v>1</v>
      </c>
      <c r="D139">
        <f>betterSearch(A139,nodes!A:A,nodes!B:B)</f>
        <v>15</v>
      </c>
      <c r="E139">
        <f>betterSearch(B139,nodes!A:A,nodes!B:B)</f>
        <v>119</v>
      </c>
      <c r="F139" t="s">
        <v>279</v>
      </c>
      <c r="G139" t="s">
        <v>280</v>
      </c>
      <c r="H139" t="s">
        <v>281</v>
      </c>
      <c r="I139" t="s">
        <v>276</v>
      </c>
      <c r="J139" t="str">
        <f t="shared" si="2"/>
        <v>{"source":15,"target":119,"value":1},</v>
      </c>
    </row>
    <row r="140" spans="1:10" x14ac:dyDescent="0.25">
      <c r="A140" t="s">
        <v>17</v>
      </c>
      <c r="B140" t="s">
        <v>122</v>
      </c>
      <c r="C140">
        <v>1</v>
      </c>
      <c r="D140">
        <f>betterSearch(A140,nodes!A:A,nodes!B:B)</f>
        <v>15</v>
      </c>
      <c r="E140">
        <f>betterSearch(B140,nodes!A:A,nodes!B:B)</f>
        <v>120</v>
      </c>
      <c r="F140" t="s">
        <v>279</v>
      </c>
      <c r="G140" t="s">
        <v>280</v>
      </c>
      <c r="H140" t="s">
        <v>281</v>
      </c>
      <c r="I140" t="s">
        <v>276</v>
      </c>
      <c r="J140" t="str">
        <f t="shared" si="2"/>
        <v>{"source":15,"target":120,"value":1},</v>
      </c>
    </row>
    <row r="141" spans="1:10" x14ac:dyDescent="0.25">
      <c r="A141" t="s">
        <v>17</v>
      </c>
      <c r="B141" t="s">
        <v>123</v>
      </c>
      <c r="C141">
        <v>1</v>
      </c>
      <c r="D141">
        <f>betterSearch(A141,nodes!A:A,nodes!B:B)</f>
        <v>15</v>
      </c>
      <c r="E141">
        <f>betterSearch(B141,nodes!A:A,nodes!B:B)</f>
        <v>121</v>
      </c>
      <c r="F141" t="s">
        <v>279</v>
      </c>
      <c r="G141" t="s">
        <v>280</v>
      </c>
      <c r="H141" t="s">
        <v>281</v>
      </c>
      <c r="I141" t="s">
        <v>276</v>
      </c>
      <c r="J141" t="str">
        <f t="shared" si="2"/>
        <v>{"source":15,"target":121,"value":1},</v>
      </c>
    </row>
    <row r="142" spans="1:10" x14ac:dyDescent="0.25">
      <c r="A142" t="s">
        <v>17</v>
      </c>
      <c r="B142" t="s">
        <v>124</v>
      </c>
      <c r="C142">
        <v>1</v>
      </c>
      <c r="D142">
        <f>betterSearch(A142,nodes!A:A,nodes!B:B)</f>
        <v>15</v>
      </c>
      <c r="E142">
        <f>betterSearch(B142,nodes!A:A,nodes!B:B)</f>
        <v>122</v>
      </c>
      <c r="F142" t="s">
        <v>279</v>
      </c>
      <c r="G142" t="s">
        <v>280</v>
      </c>
      <c r="H142" t="s">
        <v>281</v>
      </c>
      <c r="I142" t="s">
        <v>276</v>
      </c>
      <c r="J142" t="str">
        <f t="shared" si="2"/>
        <v>{"source":15,"target":122,"value":1},</v>
      </c>
    </row>
    <row r="143" spans="1:10" x14ac:dyDescent="0.25">
      <c r="A143" t="s">
        <v>17</v>
      </c>
      <c r="B143" t="s">
        <v>125</v>
      </c>
      <c r="C143">
        <v>1</v>
      </c>
      <c r="D143">
        <f>betterSearch(A143,nodes!A:A,nodes!B:B)</f>
        <v>15</v>
      </c>
      <c r="E143">
        <f>betterSearch(B143,nodes!A:A,nodes!B:B)</f>
        <v>123</v>
      </c>
      <c r="F143" t="s">
        <v>279</v>
      </c>
      <c r="G143" t="s">
        <v>280</v>
      </c>
      <c r="H143" t="s">
        <v>281</v>
      </c>
      <c r="I143" t="s">
        <v>276</v>
      </c>
      <c r="J143" t="str">
        <f t="shared" si="2"/>
        <v>{"source":15,"target":123,"value":1},</v>
      </c>
    </row>
    <row r="144" spans="1:10" x14ac:dyDescent="0.25">
      <c r="A144" t="s">
        <v>17</v>
      </c>
      <c r="B144" t="s">
        <v>126</v>
      </c>
      <c r="C144">
        <v>1</v>
      </c>
      <c r="D144">
        <f>betterSearch(A144,nodes!A:A,nodes!B:B)</f>
        <v>15</v>
      </c>
      <c r="E144">
        <f>betterSearch(B144,nodes!A:A,nodes!B:B)</f>
        <v>124</v>
      </c>
      <c r="F144" t="s">
        <v>279</v>
      </c>
      <c r="G144" t="s">
        <v>280</v>
      </c>
      <c r="H144" t="s">
        <v>281</v>
      </c>
      <c r="I144" t="s">
        <v>276</v>
      </c>
      <c r="J144" t="str">
        <f t="shared" si="2"/>
        <v>{"source":15,"target":124,"value":1},</v>
      </c>
    </row>
    <row r="145" spans="1:10" x14ac:dyDescent="0.25">
      <c r="A145" t="s">
        <v>17</v>
      </c>
      <c r="B145" t="s">
        <v>127</v>
      </c>
      <c r="C145">
        <v>1</v>
      </c>
      <c r="D145">
        <f>betterSearch(A145,nodes!A:A,nodes!B:B)</f>
        <v>15</v>
      </c>
      <c r="E145">
        <f>betterSearch(B145,nodes!A:A,nodes!B:B)</f>
        <v>125</v>
      </c>
      <c r="F145" t="s">
        <v>279</v>
      </c>
      <c r="G145" t="s">
        <v>280</v>
      </c>
      <c r="H145" t="s">
        <v>281</v>
      </c>
      <c r="I145" t="s">
        <v>276</v>
      </c>
      <c r="J145" t="str">
        <f t="shared" si="2"/>
        <v>{"source":15,"target":125,"value":1},</v>
      </c>
    </row>
    <row r="146" spans="1:10" x14ac:dyDescent="0.25">
      <c r="A146" t="s">
        <v>17</v>
      </c>
      <c r="B146" t="s">
        <v>128</v>
      </c>
      <c r="C146">
        <v>1</v>
      </c>
      <c r="D146">
        <f>betterSearch(A146,nodes!A:A,nodes!B:B)</f>
        <v>15</v>
      </c>
      <c r="E146">
        <f>betterSearch(B146,nodes!A:A,nodes!B:B)</f>
        <v>126</v>
      </c>
      <c r="F146" t="s">
        <v>279</v>
      </c>
      <c r="G146" t="s">
        <v>280</v>
      </c>
      <c r="H146" t="s">
        <v>281</v>
      </c>
      <c r="I146" t="s">
        <v>276</v>
      </c>
      <c r="J146" t="str">
        <f t="shared" si="2"/>
        <v>{"source":15,"target":126,"value":1},</v>
      </c>
    </row>
    <row r="147" spans="1:10" x14ac:dyDescent="0.25">
      <c r="A147" t="s">
        <v>18</v>
      </c>
      <c r="B147" t="s">
        <v>129</v>
      </c>
      <c r="C147">
        <v>1</v>
      </c>
      <c r="D147">
        <f>betterSearch(A147,nodes!A:A,nodes!B:B)</f>
        <v>16</v>
      </c>
      <c r="E147">
        <f>betterSearch(B147,nodes!A:A,nodes!B:B)</f>
        <v>127</v>
      </c>
      <c r="F147" t="s">
        <v>279</v>
      </c>
      <c r="G147" t="s">
        <v>280</v>
      </c>
      <c r="H147" t="s">
        <v>281</v>
      </c>
      <c r="I147" t="s">
        <v>276</v>
      </c>
      <c r="J147" t="str">
        <f t="shared" si="2"/>
        <v>{"source":16,"target":127,"value":1},</v>
      </c>
    </row>
    <row r="148" spans="1:10" x14ac:dyDescent="0.25">
      <c r="A148" t="s">
        <v>18</v>
      </c>
      <c r="B148" t="s">
        <v>130</v>
      </c>
      <c r="C148">
        <v>1</v>
      </c>
      <c r="D148">
        <f>betterSearch(A148,nodes!A:A,nodes!B:B)</f>
        <v>16</v>
      </c>
      <c r="E148">
        <f>betterSearch(B148,nodes!A:A,nodes!B:B)</f>
        <v>128</v>
      </c>
      <c r="F148" t="s">
        <v>279</v>
      </c>
      <c r="G148" t="s">
        <v>280</v>
      </c>
      <c r="H148" t="s">
        <v>281</v>
      </c>
      <c r="I148" t="s">
        <v>276</v>
      </c>
      <c r="J148" t="str">
        <f t="shared" si="2"/>
        <v>{"source":16,"target":128,"value":1},</v>
      </c>
    </row>
    <row r="149" spans="1:10" x14ac:dyDescent="0.25">
      <c r="A149" t="s">
        <v>18</v>
      </c>
      <c r="B149" t="s">
        <v>131</v>
      </c>
      <c r="C149">
        <v>1</v>
      </c>
      <c r="D149">
        <f>betterSearch(A149,nodes!A:A,nodes!B:B)</f>
        <v>16</v>
      </c>
      <c r="E149">
        <f>betterSearch(B149,nodes!A:A,nodes!B:B)</f>
        <v>129</v>
      </c>
      <c r="F149" t="s">
        <v>279</v>
      </c>
      <c r="G149" t="s">
        <v>280</v>
      </c>
      <c r="H149" t="s">
        <v>281</v>
      </c>
      <c r="I149" t="s">
        <v>276</v>
      </c>
      <c r="J149" t="str">
        <f t="shared" si="2"/>
        <v>{"source":16,"target":129,"value":1},</v>
      </c>
    </row>
    <row r="150" spans="1:10" x14ac:dyDescent="0.25">
      <c r="A150" t="s">
        <v>18</v>
      </c>
      <c r="B150" t="s">
        <v>132</v>
      </c>
      <c r="C150">
        <v>1</v>
      </c>
      <c r="D150">
        <f>betterSearch(A150,nodes!A:A,nodes!B:B)</f>
        <v>16</v>
      </c>
      <c r="E150">
        <f>betterSearch(B150,nodes!A:A,nodes!B:B)</f>
        <v>130</v>
      </c>
      <c r="F150" t="s">
        <v>279</v>
      </c>
      <c r="G150" t="s">
        <v>280</v>
      </c>
      <c r="H150" t="s">
        <v>281</v>
      </c>
      <c r="I150" t="s">
        <v>276</v>
      </c>
      <c r="J150" t="str">
        <f t="shared" si="2"/>
        <v>{"source":16,"target":130,"value":1},</v>
      </c>
    </row>
    <row r="151" spans="1:10" x14ac:dyDescent="0.25">
      <c r="A151" t="s">
        <v>18</v>
      </c>
      <c r="B151" t="s">
        <v>133</v>
      </c>
      <c r="C151">
        <v>1</v>
      </c>
      <c r="D151">
        <f>betterSearch(A151,nodes!A:A,nodes!B:B)</f>
        <v>16</v>
      </c>
      <c r="E151">
        <f>betterSearch(B151,nodes!A:A,nodes!B:B)</f>
        <v>131</v>
      </c>
      <c r="F151" t="s">
        <v>279</v>
      </c>
      <c r="G151" t="s">
        <v>280</v>
      </c>
      <c r="H151" t="s">
        <v>281</v>
      </c>
      <c r="I151" t="s">
        <v>276</v>
      </c>
      <c r="J151" t="str">
        <f t="shared" si="2"/>
        <v>{"source":16,"target":131,"value":1},</v>
      </c>
    </row>
    <row r="152" spans="1:10" x14ac:dyDescent="0.25">
      <c r="A152" t="s">
        <v>18</v>
      </c>
      <c r="B152" t="s">
        <v>134</v>
      </c>
      <c r="C152">
        <v>1</v>
      </c>
      <c r="D152">
        <f>betterSearch(A152,nodes!A:A,nodes!B:B)</f>
        <v>16</v>
      </c>
      <c r="E152">
        <f>betterSearch(B152,nodes!A:A,nodes!B:B)</f>
        <v>132</v>
      </c>
      <c r="F152" t="s">
        <v>279</v>
      </c>
      <c r="G152" t="s">
        <v>280</v>
      </c>
      <c r="H152" t="s">
        <v>281</v>
      </c>
      <c r="I152" t="s">
        <v>276</v>
      </c>
      <c r="J152" t="str">
        <f t="shared" si="2"/>
        <v>{"source":16,"target":132,"value":1},</v>
      </c>
    </row>
    <row r="153" spans="1:10" x14ac:dyDescent="0.25">
      <c r="A153" t="s">
        <v>18</v>
      </c>
      <c r="B153" t="s">
        <v>135</v>
      </c>
      <c r="C153">
        <v>1</v>
      </c>
      <c r="D153">
        <f>betterSearch(A153,nodes!A:A,nodes!B:B)</f>
        <v>16</v>
      </c>
      <c r="E153">
        <f>betterSearch(B153,nodes!A:A,nodes!B:B)</f>
        <v>133</v>
      </c>
      <c r="F153" t="s">
        <v>279</v>
      </c>
      <c r="G153" t="s">
        <v>280</v>
      </c>
      <c r="H153" t="s">
        <v>281</v>
      </c>
      <c r="I153" t="s">
        <v>276</v>
      </c>
      <c r="J153" t="str">
        <f t="shared" si="2"/>
        <v>{"source":16,"target":133,"value":1},</v>
      </c>
    </row>
    <row r="154" spans="1:10" x14ac:dyDescent="0.25">
      <c r="A154" t="s">
        <v>18</v>
      </c>
      <c r="B154" t="s">
        <v>136</v>
      </c>
      <c r="C154">
        <v>1</v>
      </c>
      <c r="D154">
        <f>betterSearch(A154,nodes!A:A,nodes!B:B)</f>
        <v>16</v>
      </c>
      <c r="E154">
        <f>betterSearch(B154,nodes!A:A,nodes!B:B)</f>
        <v>134</v>
      </c>
      <c r="F154" t="s">
        <v>279</v>
      </c>
      <c r="G154" t="s">
        <v>280</v>
      </c>
      <c r="H154" t="s">
        <v>281</v>
      </c>
      <c r="I154" t="s">
        <v>276</v>
      </c>
      <c r="J154" t="str">
        <f t="shared" si="2"/>
        <v>{"source":16,"target":134,"value":1},</v>
      </c>
    </row>
    <row r="155" spans="1:10" x14ac:dyDescent="0.25">
      <c r="A155" t="s">
        <v>18</v>
      </c>
      <c r="B155" t="s">
        <v>137</v>
      </c>
      <c r="C155">
        <v>1</v>
      </c>
      <c r="D155">
        <f>betterSearch(A155,nodes!A:A,nodes!B:B)</f>
        <v>16</v>
      </c>
      <c r="E155">
        <f>betterSearch(B155,nodes!A:A,nodes!B:B)</f>
        <v>135</v>
      </c>
      <c r="F155" t="s">
        <v>279</v>
      </c>
      <c r="G155" t="s">
        <v>280</v>
      </c>
      <c r="H155" t="s">
        <v>281</v>
      </c>
      <c r="I155" t="s">
        <v>276</v>
      </c>
      <c r="J155" t="str">
        <f t="shared" si="2"/>
        <v>{"source":16,"target":135,"value":1},</v>
      </c>
    </row>
    <row r="156" spans="1:10" x14ac:dyDescent="0.25">
      <c r="A156" t="s">
        <v>18</v>
      </c>
      <c r="B156" t="s">
        <v>138</v>
      </c>
      <c r="C156">
        <v>1</v>
      </c>
      <c r="D156">
        <f>betterSearch(A156,nodes!A:A,nodes!B:B)</f>
        <v>16</v>
      </c>
      <c r="E156">
        <f>betterSearch(B156,nodes!A:A,nodes!B:B)</f>
        <v>136</v>
      </c>
      <c r="F156" t="s">
        <v>279</v>
      </c>
      <c r="G156" t="s">
        <v>280</v>
      </c>
      <c r="H156" t="s">
        <v>281</v>
      </c>
      <c r="I156" t="s">
        <v>276</v>
      </c>
      <c r="J156" t="str">
        <f t="shared" si="2"/>
        <v>{"source":16,"target":136,"value":1},</v>
      </c>
    </row>
    <row r="157" spans="1:10" x14ac:dyDescent="0.25">
      <c r="A157" t="s">
        <v>20</v>
      </c>
      <c r="B157" t="s">
        <v>139</v>
      </c>
      <c r="C157">
        <v>1</v>
      </c>
      <c r="D157">
        <f>betterSearch(A157,nodes!A:A,nodes!B:B)</f>
        <v>18</v>
      </c>
      <c r="E157">
        <f>betterSearch(B157,nodes!A:A,nodes!B:B)</f>
        <v>137</v>
      </c>
      <c r="F157" t="s">
        <v>279</v>
      </c>
      <c r="G157" t="s">
        <v>280</v>
      </c>
      <c r="H157" t="s">
        <v>281</v>
      </c>
      <c r="I157" t="s">
        <v>276</v>
      </c>
      <c r="J157" t="str">
        <f t="shared" si="2"/>
        <v>{"source":18,"target":137,"value":1},</v>
      </c>
    </row>
    <row r="158" spans="1:10" x14ac:dyDescent="0.25">
      <c r="A158" t="s">
        <v>14</v>
      </c>
      <c r="B158" t="s">
        <v>140</v>
      </c>
      <c r="C158">
        <v>1</v>
      </c>
      <c r="D158">
        <f>betterSearch(A158,nodes!A:A,nodes!B:B)</f>
        <v>12</v>
      </c>
      <c r="E158">
        <f>betterSearch(B158,nodes!A:A,nodes!B:B)</f>
        <v>138</v>
      </c>
      <c r="F158" t="s">
        <v>279</v>
      </c>
      <c r="G158" t="s">
        <v>280</v>
      </c>
      <c r="H158" t="s">
        <v>281</v>
      </c>
      <c r="I158" t="s">
        <v>276</v>
      </c>
      <c r="J158" t="str">
        <f t="shared" si="2"/>
        <v>{"source":12,"target":138,"value":1},</v>
      </c>
    </row>
    <row r="159" spans="1:10" x14ac:dyDescent="0.25">
      <c r="A159" t="s">
        <v>14</v>
      </c>
      <c r="B159" t="s">
        <v>141</v>
      </c>
      <c r="C159">
        <v>1</v>
      </c>
      <c r="D159">
        <f>betterSearch(A159,nodes!A:A,nodes!B:B)</f>
        <v>12</v>
      </c>
      <c r="E159">
        <f>betterSearch(B159,nodes!A:A,nodes!B:B)</f>
        <v>139</v>
      </c>
      <c r="F159" t="s">
        <v>279</v>
      </c>
      <c r="G159" t="s">
        <v>280</v>
      </c>
      <c r="H159" t="s">
        <v>281</v>
      </c>
      <c r="I159" t="s">
        <v>276</v>
      </c>
      <c r="J159" t="str">
        <f t="shared" si="2"/>
        <v>{"source":12,"target":139,"value":1},</v>
      </c>
    </row>
    <row r="160" spans="1:10" x14ac:dyDescent="0.25">
      <c r="A160" t="s">
        <v>14</v>
      </c>
      <c r="B160" t="s">
        <v>142</v>
      </c>
      <c r="C160">
        <v>1</v>
      </c>
      <c r="D160">
        <f>betterSearch(A160,nodes!A:A,nodes!B:B)</f>
        <v>12</v>
      </c>
      <c r="E160">
        <f>betterSearch(B160,nodes!A:A,nodes!B:B)</f>
        <v>140</v>
      </c>
      <c r="F160" t="s">
        <v>279</v>
      </c>
      <c r="G160" t="s">
        <v>280</v>
      </c>
      <c r="H160" t="s">
        <v>281</v>
      </c>
      <c r="I160" t="s">
        <v>276</v>
      </c>
      <c r="J160" t="str">
        <f t="shared" si="2"/>
        <v>{"source":12,"target":140,"value":1},</v>
      </c>
    </row>
    <row r="161" spans="1:10" x14ac:dyDescent="0.25">
      <c r="A161" t="s">
        <v>14</v>
      </c>
      <c r="B161" t="s">
        <v>143</v>
      </c>
      <c r="C161">
        <v>1</v>
      </c>
      <c r="D161">
        <f>betterSearch(A161,nodes!A:A,nodes!B:B)</f>
        <v>12</v>
      </c>
      <c r="E161">
        <f>betterSearch(B161,nodes!A:A,nodes!B:B)</f>
        <v>141</v>
      </c>
      <c r="F161" t="s">
        <v>279</v>
      </c>
      <c r="G161" t="s">
        <v>280</v>
      </c>
      <c r="H161" t="s">
        <v>281</v>
      </c>
      <c r="I161" t="s">
        <v>276</v>
      </c>
      <c r="J161" t="str">
        <f t="shared" si="2"/>
        <v>{"source":12,"target":141,"value":1},</v>
      </c>
    </row>
    <row r="162" spans="1:10" x14ac:dyDescent="0.25">
      <c r="A162" t="s">
        <v>14</v>
      </c>
      <c r="B162" t="s">
        <v>144</v>
      </c>
      <c r="C162">
        <v>1</v>
      </c>
      <c r="D162">
        <f>betterSearch(A162,nodes!A:A,nodes!B:B)</f>
        <v>12</v>
      </c>
      <c r="E162">
        <f>betterSearch(B162,nodes!A:A,nodes!B:B)</f>
        <v>142</v>
      </c>
      <c r="F162" t="s">
        <v>279</v>
      </c>
      <c r="G162" t="s">
        <v>280</v>
      </c>
      <c r="H162" t="s">
        <v>281</v>
      </c>
      <c r="I162" t="s">
        <v>276</v>
      </c>
      <c r="J162" t="str">
        <f t="shared" si="2"/>
        <v>{"source":12,"target":142,"value":1},</v>
      </c>
    </row>
    <row r="163" spans="1:10" x14ac:dyDescent="0.25">
      <c r="A163" t="s">
        <v>14</v>
      </c>
      <c r="B163" t="s">
        <v>145</v>
      </c>
      <c r="C163">
        <v>1</v>
      </c>
      <c r="D163">
        <f>betterSearch(A163,nodes!A:A,nodes!B:B)</f>
        <v>12</v>
      </c>
      <c r="E163">
        <f>betterSearch(B163,nodes!A:A,nodes!B:B)</f>
        <v>143</v>
      </c>
      <c r="F163" t="s">
        <v>279</v>
      </c>
      <c r="G163" t="s">
        <v>280</v>
      </c>
      <c r="H163" t="s">
        <v>281</v>
      </c>
      <c r="I163" t="s">
        <v>276</v>
      </c>
      <c r="J163" t="str">
        <f t="shared" si="2"/>
        <v>{"source":12,"target":143,"value":1},</v>
      </c>
    </row>
    <row r="164" spans="1:10" x14ac:dyDescent="0.25">
      <c r="A164" t="s">
        <v>14</v>
      </c>
      <c r="B164" t="s">
        <v>146</v>
      </c>
      <c r="C164">
        <v>1</v>
      </c>
      <c r="D164">
        <f>betterSearch(A164,nodes!A:A,nodes!B:B)</f>
        <v>12</v>
      </c>
      <c r="E164">
        <f>betterSearch(B164,nodes!A:A,nodes!B:B)</f>
        <v>144</v>
      </c>
      <c r="F164" t="s">
        <v>279</v>
      </c>
      <c r="G164" t="s">
        <v>280</v>
      </c>
      <c r="H164" t="s">
        <v>281</v>
      </c>
      <c r="I164" t="s">
        <v>276</v>
      </c>
      <c r="J164" t="str">
        <f t="shared" si="2"/>
        <v>{"source":12,"target":144,"value":1},</v>
      </c>
    </row>
    <row r="165" spans="1:10" x14ac:dyDescent="0.25">
      <c r="A165" t="s">
        <v>14</v>
      </c>
      <c r="B165" t="s">
        <v>147</v>
      </c>
      <c r="C165">
        <v>1</v>
      </c>
      <c r="D165">
        <f>betterSearch(A165,nodes!A:A,nodes!B:B)</f>
        <v>12</v>
      </c>
      <c r="E165">
        <f>betterSearch(B165,nodes!A:A,nodes!B:B)</f>
        <v>145</v>
      </c>
      <c r="F165" t="s">
        <v>279</v>
      </c>
      <c r="G165" t="s">
        <v>280</v>
      </c>
      <c r="H165" t="s">
        <v>281</v>
      </c>
      <c r="I165" t="s">
        <v>276</v>
      </c>
      <c r="J165" t="str">
        <f t="shared" si="2"/>
        <v>{"source":12,"target":145,"value":1},</v>
      </c>
    </row>
    <row r="166" spans="1:10" x14ac:dyDescent="0.25">
      <c r="A166" t="s">
        <v>14</v>
      </c>
      <c r="B166" t="s">
        <v>148</v>
      </c>
      <c r="C166">
        <v>1</v>
      </c>
      <c r="D166">
        <f>betterSearch(A166,nodes!A:A,nodes!B:B)</f>
        <v>12</v>
      </c>
      <c r="E166">
        <f>betterSearch(B166,nodes!A:A,nodes!B:B)</f>
        <v>146</v>
      </c>
      <c r="F166" t="s">
        <v>279</v>
      </c>
      <c r="G166" t="s">
        <v>280</v>
      </c>
      <c r="H166" t="s">
        <v>281</v>
      </c>
      <c r="I166" t="s">
        <v>276</v>
      </c>
      <c r="J166" t="str">
        <f t="shared" si="2"/>
        <v>{"source":12,"target":146,"value":1},</v>
      </c>
    </row>
    <row r="167" spans="1:10" x14ac:dyDescent="0.25">
      <c r="A167" t="s">
        <v>14</v>
      </c>
      <c r="B167" t="s">
        <v>149</v>
      </c>
      <c r="C167">
        <v>1</v>
      </c>
      <c r="D167">
        <f>betterSearch(A167,nodes!A:A,nodes!B:B)</f>
        <v>12</v>
      </c>
      <c r="E167">
        <f>betterSearch(B167,nodes!A:A,nodes!B:B)</f>
        <v>147</v>
      </c>
      <c r="F167" t="s">
        <v>279</v>
      </c>
      <c r="G167" t="s">
        <v>280</v>
      </c>
      <c r="H167" t="s">
        <v>281</v>
      </c>
      <c r="I167" t="s">
        <v>276</v>
      </c>
      <c r="J167" t="str">
        <f t="shared" si="2"/>
        <v>{"source":12,"target":147,"value":1},</v>
      </c>
    </row>
    <row r="168" spans="1:10" x14ac:dyDescent="0.25">
      <c r="A168" t="s">
        <v>14</v>
      </c>
      <c r="B168" t="s">
        <v>150</v>
      </c>
      <c r="C168">
        <v>1</v>
      </c>
      <c r="D168">
        <f>betterSearch(A168,nodes!A:A,nodes!B:B)</f>
        <v>12</v>
      </c>
      <c r="E168">
        <f>betterSearch(B168,nodes!A:A,nodes!B:B)</f>
        <v>148</v>
      </c>
      <c r="F168" t="s">
        <v>279</v>
      </c>
      <c r="G168" t="s">
        <v>280</v>
      </c>
      <c r="H168" t="s">
        <v>281</v>
      </c>
      <c r="I168" t="s">
        <v>276</v>
      </c>
      <c r="J168" t="str">
        <f t="shared" si="2"/>
        <v>{"source":12,"target":148,"value":1},</v>
      </c>
    </row>
    <row r="169" spans="1:10" x14ac:dyDescent="0.25">
      <c r="A169" t="s">
        <v>14</v>
      </c>
      <c r="B169" t="s">
        <v>151</v>
      </c>
      <c r="C169">
        <v>1</v>
      </c>
      <c r="D169">
        <f>betterSearch(A169,nodes!A:A,nodes!B:B)</f>
        <v>12</v>
      </c>
      <c r="E169">
        <f>betterSearch(B169,nodes!A:A,nodes!B:B)</f>
        <v>149</v>
      </c>
      <c r="F169" t="s">
        <v>279</v>
      </c>
      <c r="G169" t="s">
        <v>280</v>
      </c>
      <c r="H169" t="s">
        <v>281</v>
      </c>
      <c r="I169" t="s">
        <v>276</v>
      </c>
      <c r="J169" t="str">
        <f t="shared" si="2"/>
        <v>{"source":12,"target":149,"value":1},</v>
      </c>
    </row>
    <row r="170" spans="1:10" x14ac:dyDescent="0.25">
      <c r="A170" t="s">
        <v>14</v>
      </c>
      <c r="B170" t="s">
        <v>152</v>
      </c>
      <c r="C170">
        <v>1</v>
      </c>
      <c r="D170">
        <f>betterSearch(A170,nodes!A:A,nodes!B:B)</f>
        <v>12</v>
      </c>
      <c r="E170">
        <f>betterSearch(B170,nodes!A:A,nodes!B:B)</f>
        <v>150</v>
      </c>
      <c r="F170" t="s">
        <v>279</v>
      </c>
      <c r="G170" t="s">
        <v>280</v>
      </c>
      <c r="H170" t="s">
        <v>281</v>
      </c>
      <c r="I170" t="s">
        <v>276</v>
      </c>
      <c r="J170" t="str">
        <f t="shared" si="2"/>
        <v>{"source":12,"target":150,"value":1},</v>
      </c>
    </row>
    <row r="171" spans="1:10" x14ac:dyDescent="0.25">
      <c r="A171" t="s">
        <v>14</v>
      </c>
      <c r="B171" t="s">
        <v>153</v>
      </c>
      <c r="C171">
        <v>1</v>
      </c>
      <c r="D171">
        <f>betterSearch(A171,nodes!A:A,nodes!B:B)</f>
        <v>12</v>
      </c>
      <c r="E171">
        <f>betterSearch(B171,nodes!A:A,nodes!B:B)</f>
        <v>151</v>
      </c>
      <c r="F171" t="s">
        <v>279</v>
      </c>
      <c r="G171" t="s">
        <v>280</v>
      </c>
      <c r="H171" t="s">
        <v>281</v>
      </c>
      <c r="I171" t="s">
        <v>276</v>
      </c>
      <c r="J171" t="str">
        <f t="shared" si="2"/>
        <v>{"source":12,"target":151,"value":1},</v>
      </c>
    </row>
    <row r="172" spans="1:10" x14ac:dyDescent="0.25">
      <c r="A172" t="s">
        <v>14</v>
      </c>
      <c r="B172" t="s">
        <v>154</v>
      </c>
      <c r="C172">
        <v>1</v>
      </c>
      <c r="D172">
        <f>betterSearch(A172,nodes!A:A,nodes!B:B)</f>
        <v>12</v>
      </c>
      <c r="E172">
        <f>betterSearch(B172,nodes!A:A,nodes!B:B)</f>
        <v>152</v>
      </c>
      <c r="F172" t="s">
        <v>279</v>
      </c>
      <c r="G172" t="s">
        <v>280</v>
      </c>
      <c r="H172" t="s">
        <v>281</v>
      </c>
      <c r="I172" t="s">
        <v>276</v>
      </c>
      <c r="J172" t="str">
        <f t="shared" si="2"/>
        <v>{"source":12,"target":152,"value":1},</v>
      </c>
    </row>
    <row r="173" spans="1:10" x14ac:dyDescent="0.25">
      <c r="A173" t="s">
        <v>14</v>
      </c>
      <c r="B173" t="s">
        <v>155</v>
      </c>
      <c r="C173">
        <v>1</v>
      </c>
      <c r="D173">
        <f>betterSearch(A173,nodes!A:A,nodes!B:B)</f>
        <v>12</v>
      </c>
      <c r="E173">
        <f>betterSearch(B173,nodes!A:A,nodes!B:B)</f>
        <v>153</v>
      </c>
      <c r="F173" t="s">
        <v>279</v>
      </c>
      <c r="G173" t="s">
        <v>280</v>
      </c>
      <c r="H173" t="s">
        <v>281</v>
      </c>
      <c r="I173" t="s">
        <v>276</v>
      </c>
      <c r="J173" t="str">
        <f t="shared" si="2"/>
        <v>{"source":12,"target":153,"value":1},</v>
      </c>
    </row>
    <row r="174" spans="1:10" x14ac:dyDescent="0.25">
      <c r="A174" t="s">
        <v>14</v>
      </c>
      <c r="B174" t="s">
        <v>156</v>
      </c>
      <c r="C174">
        <v>1</v>
      </c>
      <c r="D174">
        <f>betterSearch(A174,nodes!A:A,nodes!B:B)</f>
        <v>12</v>
      </c>
      <c r="E174">
        <f>betterSearch(B174,nodes!A:A,nodes!B:B)</f>
        <v>154</v>
      </c>
      <c r="F174" t="s">
        <v>279</v>
      </c>
      <c r="G174" t="s">
        <v>280</v>
      </c>
      <c r="H174" t="s">
        <v>281</v>
      </c>
      <c r="I174" t="s">
        <v>276</v>
      </c>
      <c r="J174" t="str">
        <f t="shared" si="2"/>
        <v>{"source":12,"target":154,"value":1},</v>
      </c>
    </row>
    <row r="175" spans="1:10" x14ac:dyDescent="0.25">
      <c r="A175" t="s">
        <v>14</v>
      </c>
      <c r="B175" t="s">
        <v>157</v>
      </c>
      <c r="C175">
        <v>1</v>
      </c>
      <c r="D175">
        <f>betterSearch(A175,nodes!A:A,nodes!B:B)</f>
        <v>12</v>
      </c>
      <c r="E175">
        <f>betterSearch(B175,nodes!A:A,nodes!B:B)</f>
        <v>155</v>
      </c>
      <c r="F175" t="s">
        <v>279</v>
      </c>
      <c r="G175" t="s">
        <v>280</v>
      </c>
      <c r="H175" t="s">
        <v>281</v>
      </c>
      <c r="I175" t="s">
        <v>276</v>
      </c>
      <c r="J175" t="str">
        <f t="shared" si="2"/>
        <v>{"source":12,"target":155,"value":1},</v>
      </c>
    </row>
    <row r="176" spans="1:10" x14ac:dyDescent="0.25">
      <c r="A176" t="s">
        <v>14</v>
      </c>
      <c r="B176" t="s">
        <v>158</v>
      </c>
      <c r="C176">
        <v>1</v>
      </c>
      <c r="D176">
        <f>betterSearch(A176,nodes!A:A,nodes!B:B)</f>
        <v>12</v>
      </c>
      <c r="E176">
        <f>betterSearch(B176,nodes!A:A,nodes!B:B)</f>
        <v>156</v>
      </c>
      <c r="F176" t="s">
        <v>279</v>
      </c>
      <c r="G176" t="s">
        <v>280</v>
      </c>
      <c r="H176" t="s">
        <v>281</v>
      </c>
      <c r="I176" t="s">
        <v>276</v>
      </c>
      <c r="J176" t="str">
        <f t="shared" si="2"/>
        <v>{"source":12,"target":156,"value":1},</v>
      </c>
    </row>
    <row r="177" spans="1:10" x14ac:dyDescent="0.25">
      <c r="A177" t="s">
        <v>14</v>
      </c>
      <c r="B177" t="s">
        <v>159</v>
      </c>
      <c r="C177">
        <v>1</v>
      </c>
      <c r="D177">
        <f>betterSearch(A177,nodes!A:A,nodes!B:B)</f>
        <v>12</v>
      </c>
      <c r="E177">
        <f>betterSearch(B177,nodes!A:A,nodes!B:B)</f>
        <v>157</v>
      </c>
      <c r="F177" t="s">
        <v>279</v>
      </c>
      <c r="G177" t="s">
        <v>280</v>
      </c>
      <c r="H177" t="s">
        <v>281</v>
      </c>
      <c r="I177" t="s">
        <v>276</v>
      </c>
      <c r="J177" t="str">
        <f t="shared" si="2"/>
        <v>{"source":12,"target":157,"value":1},</v>
      </c>
    </row>
    <row r="178" spans="1:10" x14ac:dyDescent="0.25">
      <c r="A178" t="s">
        <v>14</v>
      </c>
      <c r="B178" t="s">
        <v>160</v>
      </c>
      <c r="C178">
        <v>1</v>
      </c>
      <c r="D178">
        <f>betterSearch(A178,nodes!A:A,nodes!B:B)</f>
        <v>12</v>
      </c>
      <c r="E178">
        <f>betterSearch(B178,nodes!A:A,nodes!B:B)</f>
        <v>158</v>
      </c>
      <c r="F178" t="s">
        <v>279</v>
      </c>
      <c r="G178" t="s">
        <v>280</v>
      </c>
      <c r="H178" t="s">
        <v>281</v>
      </c>
      <c r="I178" t="s">
        <v>276</v>
      </c>
      <c r="J178" t="str">
        <f t="shared" si="2"/>
        <v>{"source":12,"target":158,"value":1},</v>
      </c>
    </row>
    <row r="179" spans="1:10" x14ac:dyDescent="0.25">
      <c r="A179" t="s">
        <v>14</v>
      </c>
      <c r="B179" t="s">
        <v>161</v>
      </c>
      <c r="C179">
        <v>1</v>
      </c>
      <c r="D179">
        <f>betterSearch(A179,nodes!A:A,nodes!B:B)</f>
        <v>12</v>
      </c>
      <c r="E179">
        <f>betterSearch(B179,nodes!A:A,nodes!B:B)</f>
        <v>159</v>
      </c>
      <c r="F179" t="s">
        <v>279</v>
      </c>
      <c r="G179" t="s">
        <v>280</v>
      </c>
      <c r="H179" t="s">
        <v>281</v>
      </c>
      <c r="I179" t="s">
        <v>276</v>
      </c>
      <c r="J179" t="str">
        <f t="shared" si="2"/>
        <v>{"source":12,"target":159,"value":1},</v>
      </c>
    </row>
    <row r="180" spans="1:10" x14ac:dyDescent="0.25">
      <c r="A180" t="s">
        <v>14</v>
      </c>
      <c r="B180" t="s">
        <v>162</v>
      </c>
      <c r="C180">
        <v>1</v>
      </c>
      <c r="D180">
        <f>betterSearch(A180,nodes!A:A,nodes!B:B)</f>
        <v>12</v>
      </c>
      <c r="E180">
        <f>betterSearch(B180,nodes!A:A,nodes!B:B)</f>
        <v>160</v>
      </c>
      <c r="F180" t="s">
        <v>279</v>
      </c>
      <c r="G180" t="s">
        <v>280</v>
      </c>
      <c r="H180" t="s">
        <v>281</v>
      </c>
      <c r="I180" t="s">
        <v>276</v>
      </c>
      <c r="J180" t="str">
        <f t="shared" si="2"/>
        <v>{"source":12,"target":160,"value":1},</v>
      </c>
    </row>
    <row r="181" spans="1:10" x14ac:dyDescent="0.25">
      <c r="A181" t="s">
        <v>6</v>
      </c>
      <c r="B181" t="s">
        <v>163</v>
      </c>
      <c r="C181">
        <v>1</v>
      </c>
      <c r="D181">
        <f>betterSearch(A181,nodes!A:A,nodes!B:B)</f>
        <v>4</v>
      </c>
      <c r="E181">
        <f>betterSearch(B181,nodes!A:A,nodes!B:B)</f>
        <v>161</v>
      </c>
      <c r="F181" t="s">
        <v>279</v>
      </c>
      <c r="G181" t="s">
        <v>280</v>
      </c>
      <c r="H181" t="s">
        <v>281</v>
      </c>
      <c r="I181" t="s">
        <v>276</v>
      </c>
      <c r="J181" t="str">
        <f t="shared" si="2"/>
        <v>{"source":4,"target":161,"value":1},</v>
      </c>
    </row>
    <row r="182" spans="1:10" x14ac:dyDescent="0.25">
      <c r="A182" t="s">
        <v>6</v>
      </c>
      <c r="B182" t="s">
        <v>164</v>
      </c>
      <c r="C182">
        <v>1</v>
      </c>
      <c r="D182">
        <f>betterSearch(A182,nodes!A:A,nodes!B:B)</f>
        <v>4</v>
      </c>
      <c r="E182">
        <f>betterSearch(B182,nodes!A:A,nodes!B:B)</f>
        <v>162</v>
      </c>
      <c r="F182" t="s">
        <v>279</v>
      </c>
      <c r="G182" t="s">
        <v>280</v>
      </c>
      <c r="H182" t="s">
        <v>281</v>
      </c>
      <c r="I182" t="s">
        <v>276</v>
      </c>
      <c r="J182" t="str">
        <f t="shared" si="2"/>
        <v>{"source":4,"target":162,"value":1},</v>
      </c>
    </row>
    <row r="183" spans="1:10" x14ac:dyDescent="0.25">
      <c r="A183" t="s">
        <v>6</v>
      </c>
      <c r="B183" t="s">
        <v>165</v>
      </c>
      <c r="C183">
        <v>1</v>
      </c>
      <c r="D183">
        <f>betterSearch(A183,nodes!A:A,nodes!B:B)</f>
        <v>4</v>
      </c>
      <c r="E183">
        <f>betterSearch(B183,nodes!A:A,nodes!B:B)</f>
        <v>163</v>
      </c>
      <c r="F183" t="s">
        <v>279</v>
      </c>
      <c r="G183" t="s">
        <v>280</v>
      </c>
      <c r="H183" t="s">
        <v>281</v>
      </c>
      <c r="I183" t="s">
        <v>276</v>
      </c>
      <c r="J183" t="str">
        <f t="shared" si="2"/>
        <v>{"source":4,"target":163,"value":1},</v>
      </c>
    </row>
    <row r="184" spans="1:10" x14ac:dyDescent="0.25">
      <c r="A184" t="s">
        <v>6</v>
      </c>
      <c r="B184" t="s">
        <v>166</v>
      </c>
      <c r="C184">
        <v>1</v>
      </c>
      <c r="D184">
        <f>betterSearch(A184,nodes!A:A,nodes!B:B)</f>
        <v>4</v>
      </c>
      <c r="E184">
        <f>betterSearch(B184,nodes!A:A,nodes!B:B)</f>
        <v>164</v>
      </c>
      <c r="F184" t="s">
        <v>279</v>
      </c>
      <c r="G184" t="s">
        <v>280</v>
      </c>
      <c r="H184" t="s">
        <v>281</v>
      </c>
      <c r="I184" t="s">
        <v>276</v>
      </c>
      <c r="J184" t="str">
        <f t="shared" si="2"/>
        <v>{"source":4,"target":164,"value":1},</v>
      </c>
    </row>
    <row r="185" spans="1:10" x14ac:dyDescent="0.25">
      <c r="A185" t="s">
        <v>6</v>
      </c>
      <c r="B185" t="s">
        <v>167</v>
      </c>
      <c r="C185">
        <v>1</v>
      </c>
      <c r="D185">
        <f>betterSearch(A185,nodes!A:A,nodes!B:B)</f>
        <v>4</v>
      </c>
      <c r="E185">
        <f>betterSearch(B185,nodes!A:A,nodes!B:B)</f>
        <v>165</v>
      </c>
      <c r="F185" t="s">
        <v>279</v>
      </c>
      <c r="G185" t="s">
        <v>280</v>
      </c>
      <c r="H185" t="s">
        <v>281</v>
      </c>
      <c r="I185" t="s">
        <v>276</v>
      </c>
      <c r="J185" t="str">
        <f t="shared" si="2"/>
        <v>{"source":4,"target":165,"value":1},</v>
      </c>
    </row>
    <row r="186" spans="1:10" x14ac:dyDescent="0.25">
      <c r="A186" t="s">
        <v>6</v>
      </c>
      <c r="B186" t="s">
        <v>168</v>
      </c>
      <c r="C186">
        <v>1</v>
      </c>
      <c r="D186">
        <f>betterSearch(A186,nodes!A:A,nodes!B:B)</f>
        <v>4</v>
      </c>
      <c r="E186">
        <f>betterSearch(B186,nodes!A:A,nodes!B:B)</f>
        <v>166</v>
      </c>
      <c r="F186" t="s">
        <v>279</v>
      </c>
      <c r="G186" t="s">
        <v>280</v>
      </c>
      <c r="H186" t="s">
        <v>281</v>
      </c>
      <c r="I186" t="s">
        <v>276</v>
      </c>
      <c r="J186" t="str">
        <f t="shared" si="2"/>
        <v>{"source":4,"target":166,"value":1},</v>
      </c>
    </row>
    <row r="187" spans="1:10" x14ac:dyDescent="0.25">
      <c r="A187" t="s">
        <v>6</v>
      </c>
      <c r="B187" t="s">
        <v>169</v>
      </c>
      <c r="C187">
        <v>1</v>
      </c>
      <c r="D187">
        <f>betterSearch(A187,nodes!A:A,nodes!B:B)</f>
        <v>4</v>
      </c>
      <c r="E187">
        <f>betterSearch(B187,nodes!A:A,nodes!B:B)</f>
        <v>167</v>
      </c>
      <c r="F187" t="s">
        <v>279</v>
      </c>
      <c r="G187" t="s">
        <v>280</v>
      </c>
      <c r="H187" t="s">
        <v>281</v>
      </c>
      <c r="I187" t="s">
        <v>276</v>
      </c>
      <c r="J187" t="str">
        <f t="shared" si="2"/>
        <v>{"source":4,"target":167,"value":1},</v>
      </c>
    </row>
    <row r="188" spans="1:10" x14ac:dyDescent="0.25">
      <c r="A188" t="s">
        <v>6</v>
      </c>
      <c r="B188" t="s">
        <v>170</v>
      </c>
      <c r="C188">
        <v>1</v>
      </c>
      <c r="D188">
        <f>betterSearch(A188,nodes!A:A,nodes!B:B)</f>
        <v>4</v>
      </c>
      <c r="E188">
        <f>betterSearch(B188,nodes!A:A,nodes!B:B)</f>
        <v>168</v>
      </c>
      <c r="F188" t="s">
        <v>279</v>
      </c>
      <c r="G188" t="s">
        <v>280</v>
      </c>
      <c r="H188" t="s">
        <v>281</v>
      </c>
      <c r="I188" t="s">
        <v>276</v>
      </c>
      <c r="J188" t="str">
        <f t="shared" si="2"/>
        <v>{"source":4,"target":168,"value":1},</v>
      </c>
    </row>
    <row r="189" spans="1:10" x14ac:dyDescent="0.25">
      <c r="A189" t="s">
        <v>6</v>
      </c>
      <c r="B189" t="s">
        <v>171</v>
      </c>
      <c r="C189">
        <v>1</v>
      </c>
      <c r="D189">
        <f>betterSearch(A189,nodes!A:A,nodes!B:B)</f>
        <v>4</v>
      </c>
      <c r="E189">
        <f>betterSearch(B189,nodes!A:A,nodes!B:B)</f>
        <v>169</v>
      </c>
      <c r="F189" t="s">
        <v>279</v>
      </c>
      <c r="G189" t="s">
        <v>280</v>
      </c>
      <c r="H189" t="s">
        <v>281</v>
      </c>
      <c r="I189" t="s">
        <v>276</v>
      </c>
      <c r="J189" t="str">
        <f t="shared" si="2"/>
        <v>{"source":4,"target":169,"value":1},</v>
      </c>
    </row>
    <row r="190" spans="1:10" x14ac:dyDescent="0.25">
      <c r="A190" t="s">
        <v>6</v>
      </c>
      <c r="B190" t="s">
        <v>172</v>
      </c>
      <c r="C190">
        <v>1</v>
      </c>
      <c r="D190">
        <f>betterSearch(A190,nodes!A:A,nodes!B:B)</f>
        <v>4</v>
      </c>
      <c r="E190">
        <f>betterSearch(B190,nodes!A:A,nodes!B:B)</f>
        <v>170</v>
      </c>
      <c r="F190" t="s">
        <v>279</v>
      </c>
      <c r="G190" t="s">
        <v>280</v>
      </c>
      <c r="H190" t="s">
        <v>281</v>
      </c>
      <c r="I190" t="s">
        <v>276</v>
      </c>
      <c r="J190" t="str">
        <f t="shared" si="2"/>
        <v>{"source":4,"target":170,"value":1},</v>
      </c>
    </row>
    <row r="191" spans="1:10" x14ac:dyDescent="0.25">
      <c r="A191" t="s">
        <v>6</v>
      </c>
      <c r="B191" t="s">
        <v>173</v>
      </c>
      <c r="C191">
        <v>1</v>
      </c>
      <c r="D191">
        <f>betterSearch(A191,nodes!A:A,nodes!B:B)</f>
        <v>4</v>
      </c>
      <c r="E191">
        <f>betterSearch(B191,nodes!A:A,nodes!B:B)</f>
        <v>171</v>
      </c>
      <c r="F191" t="s">
        <v>279</v>
      </c>
      <c r="G191" t="s">
        <v>280</v>
      </c>
      <c r="H191" t="s">
        <v>281</v>
      </c>
      <c r="I191" t="s">
        <v>276</v>
      </c>
      <c r="J191" t="str">
        <f t="shared" si="2"/>
        <v>{"source":4,"target":171,"value":1},</v>
      </c>
    </row>
    <row r="192" spans="1:10" x14ac:dyDescent="0.25">
      <c r="A192" t="s">
        <v>6</v>
      </c>
      <c r="B192" t="s">
        <v>174</v>
      </c>
      <c r="C192">
        <v>1</v>
      </c>
      <c r="D192">
        <f>betterSearch(A192,nodes!A:A,nodes!B:B)</f>
        <v>4</v>
      </c>
      <c r="E192">
        <f>betterSearch(B192,nodes!A:A,nodes!B:B)</f>
        <v>172</v>
      </c>
      <c r="F192" t="s">
        <v>279</v>
      </c>
      <c r="G192" t="s">
        <v>280</v>
      </c>
      <c r="H192" t="s">
        <v>281</v>
      </c>
      <c r="I192" t="s">
        <v>276</v>
      </c>
      <c r="J192" t="str">
        <f t="shared" si="2"/>
        <v>{"source":4,"target":172,"value":1},</v>
      </c>
    </row>
    <row r="193" spans="1:10" x14ac:dyDescent="0.25">
      <c r="A193" t="s">
        <v>6</v>
      </c>
      <c r="B193" t="s">
        <v>175</v>
      </c>
      <c r="C193">
        <v>1</v>
      </c>
      <c r="D193">
        <f>betterSearch(A193,nodes!A:A,nodes!B:B)</f>
        <v>4</v>
      </c>
      <c r="E193">
        <f>betterSearch(B193,nodes!A:A,nodes!B:B)</f>
        <v>173</v>
      </c>
      <c r="F193" t="s">
        <v>279</v>
      </c>
      <c r="G193" t="s">
        <v>280</v>
      </c>
      <c r="H193" t="s">
        <v>281</v>
      </c>
      <c r="I193" t="s">
        <v>276</v>
      </c>
      <c r="J193" t="str">
        <f t="shared" si="2"/>
        <v>{"source":4,"target":173,"value":1},</v>
      </c>
    </row>
    <row r="194" spans="1:10" x14ac:dyDescent="0.25">
      <c r="A194" t="s">
        <v>14</v>
      </c>
      <c r="B194" t="s">
        <v>176</v>
      </c>
      <c r="C194">
        <v>1</v>
      </c>
      <c r="D194">
        <f>betterSearch(A194,nodes!A:A,nodes!B:B)</f>
        <v>12</v>
      </c>
      <c r="E194">
        <f>betterSearch(B194,nodes!A:A,nodes!B:B)</f>
        <v>174</v>
      </c>
      <c r="F194" t="s">
        <v>279</v>
      </c>
      <c r="G194" t="s">
        <v>280</v>
      </c>
      <c r="H194" t="s">
        <v>281</v>
      </c>
      <c r="I194" t="s">
        <v>276</v>
      </c>
      <c r="J194" t="str">
        <f t="shared" si="2"/>
        <v>{"source":12,"target":174,"value":1},</v>
      </c>
    </row>
    <row r="195" spans="1:10" x14ac:dyDescent="0.25">
      <c r="A195" t="s">
        <v>14</v>
      </c>
      <c r="B195" t="s">
        <v>177</v>
      </c>
      <c r="C195">
        <v>1</v>
      </c>
      <c r="D195">
        <f>betterSearch(A195,nodes!A:A,nodes!B:B)</f>
        <v>12</v>
      </c>
      <c r="E195">
        <f>betterSearch(B195,nodes!A:A,nodes!B:B)</f>
        <v>175</v>
      </c>
      <c r="F195" t="s">
        <v>279</v>
      </c>
      <c r="G195" t="s">
        <v>280</v>
      </c>
      <c r="H195" t="s">
        <v>281</v>
      </c>
      <c r="I195" t="s">
        <v>276</v>
      </c>
      <c r="J195" t="str">
        <f t="shared" ref="J195:J258" si="3">CONCATENATE(F195,D195,G195,E195,H195,C195,I195)</f>
        <v>{"source":12,"target":175,"value":1},</v>
      </c>
    </row>
    <row r="196" spans="1:10" x14ac:dyDescent="0.25">
      <c r="A196" t="s">
        <v>14</v>
      </c>
      <c r="B196" t="s">
        <v>178</v>
      </c>
      <c r="C196">
        <v>1</v>
      </c>
      <c r="D196">
        <f>betterSearch(A196,nodes!A:A,nodes!B:B)</f>
        <v>12</v>
      </c>
      <c r="E196">
        <f>betterSearch(B196,nodes!A:A,nodes!B:B)</f>
        <v>176</v>
      </c>
      <c r="F196" t="s">
        <v>279</v>
      </c>
      <c r="G196" t="s">
        <v>280</v>
      </c>
      <c r="H196" t="s">
        <v>281</v>
      </c>
      <c r="I196" t="s">
        <v>276</v>
      </c>
      <c r="J196" t="str">
        <f t="shared" si="3"/>
        <v>{"source":12,"target":176,"value":1},</v>
      </c>
    </row>
    <row r="197" spans="1:10" x14ac:dyDescent="0.25">
      <c r="A197" t="s">
        <v>14</v>
      </c>
      <c r="B197" t="s">
        <v>179</v>
      </c>
      <c r="C197">
        <v>1</v>
      </c>
      <c r="D197">
        <f>betterSearch(A197,nodes!A:A,nodes!B:B)</f>
        <v>12</v>
      </c>
      <c r="E197">
        <f>betterSearch(B197,nodes!A:A,nodes!B:B)</f>
        <v>177</v>
      </c>
      <c r="F197" t="s">
        <v>279</v>
      </c>
      <c r="G197" t="s">
        <v>280</v>
      </c>
      <c r="H197" t="s">
        <v>281</v>
      </c>
      <c r="I197" t="s">
        <v>276</v>
      </c>
      <c r="J197" t="str">
        <f t="shared" si="3"/>
        <v>{"source":12,"target":177,"value":1},</v>
      </c>
    </row>
    <row r="198" spans="1:10" x14ac:dyDescent="0.25">
      <c r="A198" t="s">
        <v>14</v>
      </c>
      <c r="B198" t="s">
        <v>180</v>
      </c>
      <c r="C198">
        <v>1</v>
      </c>
      <c r="D198">
        <f>betterSearch(A198,nodes!A:A,nodes!B:B)</f>
        <v>12</v>
      </c>
      <c r="E198">
        <f>betterSearch(B198,nodes!A:A,nodes!B:B)</f>
        <v>178</v>
      </c>
      <c r="F198" t="s">
        <v>279</v>
      </c>
      <c r="G198" t="s">
        <v>280</v>
      </c>
      <c r="H198" t="s">
        <v>281</v>
      </c>
      <c r="I198" t="s">
        <v>276</v>
      </c>
      <c r="J198" t="str">
        <f t="shared" si="3"/>
        <v>{"source":12,"target":178,"value":1},</v>
      </c>
    </row>
    <row r="199" spans="1:10" x14ac:dyDescent="0.25">
      <c r="A199" t="s">
        <v>32</v>
      </c>
      <c r="B199" t="s">
        <v>181</v>
      </c>
      <c r="C199">
        <v>1</v>
      </c>
      <c r="D199">
        <f>betterSearch(A199,nodes!A:A,nodes!B:B)</f>
        <v>30</v>
      </c>
      <c r="E199">
        <f>betterSearch(B199,nodes!A:A,nodes!B:B)</f>
        <v>179</v>
      </c>
      <c r="F199" t="s">
        <v>279</v>
      </c>
      <c r="G199" t="s">
        <v>280</v>
      </c>
      <c r="H199" t="s">
        <v>281</v>
      </c>
      <c r="I199" t="s">
        <v>276</v>
      </c>
      <c r="J199" t="str">
        <f t="shared" si="3"/>
        <v>{"source":30,"target":179,"value":1},</v>
      </c>
    </row>
    <row r="200" spans="1:10" x14ac:dyDescent="0.25">
      <c r="A200" t="s">
        <v>32</v>
      </c>
      <c r="B200" t="s">
        <v>182</v>
      </c>
      <c r="C200">
        <v>1</v>
      </c>
      <c r="D200">
        <f>betterSearch(A200,nodes!A:A,nodes!B:B)</f>
        <v>30</v>
      </c>
      <c r="E200">
        <f>betterSearch(B200,nodes!A:A,nodes!B:B)</f>
        <v>180</v>
      </c>
      <c r="F200" t="s">
        <v>279</v>
      </c>
      <c r="G200" t="s">
        <v>280</v>
      </c>
      <c r="H200" t="s">
        <v>281</v>
      </c>
      <c r="I200" t="s">
        <v>276</v>
      </c>
      <c r="J200" t="str">
        <f t="shared" si="3"/>
        <v>{"source":30,"target":180,"value":1},</v>
      </c>
    </row>
    <row r="201" spans="1:10" x14ac:dyDescent="0.25">
      <c r="A201" t="s">
        <v>32</v>
      </c>
      <c r="B201" t="s">
        <v>183</v>
      </c>
      <c r="C201">
        <v>1</v>
      </c>
      <c r="D201">
        <f>betterSearch(A201,nodes!A:A,nodes!B:B)</f>
        <v>30</v>
      </c>
      <c r="E201">
        <f>betterSearch(B201,nodes!A:A,nodes!B:B)</f>
        <v>181</v>
      </c>
      <c r="F201" t="s">
        <v>279</v>
      </c>
      <c r="G201" t="s">
        <v>280</v>
      </c>
      <c r="H201" t="s">
        <v>281</v>
      </c>
      <c r="I201" t="s">
        <v>276</v>
      </c>
      <c r="J201" t="str">
        <f t="shared" si="3"/>
        <v>{"source":30,"target":181,"value":1},</v>
      </c>
    </row>
    <row r="202" spans="1:10" x14ac:dyDescent="0.25">
      <c r="A202" t="s">
        <v>32</v>
      </c>
      <c r="B202" t="s">
        <v>184</v>
      </c>
      <c r="C202">
        <v>1</v>
      </c>
      <c r="D202">
        <f>betterSearch(A202,nodes!A:A,nodes!B:B)</f>
        <v>30</v>
      </c>
      <c r="E202">
        <f>betterSearch(B202,nodes!A:A,nodes!B:B)</f>
        <v>182</v>
      </c>
      <c r="F202" t="s">
        <v>279</v>
      </c>
      <c r="G202" t="s">
        <v>280</v>
      </c>
      <c r="H202" t="s">
        <v>281</v>
      </c>
      <c r="I202" t="s">
        <v>276</v>
      </c>
      <c r="J202" t="str">
        <f t="shared" si="3"/>
        <v>{"source":30,"target":182,"value":1},</v>
      </c>
    </row>
    <row r="203" spans="1:10" x14ac:dyDescent="0.25">
      <c r="A203" t="s">
        <v>32</v>
      </c>
      <c r="B203" t="s">
        <v>185</v>
      </c>
      <c r="C203">
        <v>1</v>
      </c>
      <c r="D203">
        <f>betterSearch(A203,nodes!A:A,nodes!B:B)</f>
        <v>30</v>
      </c>
      <c r="E203">
        <f>betterSearch(B203,nodes!A:A,nodes!B:B)</f>
        <v>183</v>
      </c>
      <c r="F203" t="s">
        <v>279</v>
      </c>
      <c r="G203" t="s">
        <v>280</v>
      </c>
      <c r="H203" t="s">
        <v>281</v>
      </c>
      <c r="I203" t="s">
        <v>276</v>
      </c>
      <c r="J203" t="str">
        <f t="shared" si="3"/>
        <v>{"source":30,"target":183,"value":1},</v>
      </c>
    </row>
    <row r="204" spans="1:10" x14ac:dyDescent="0.25">
      <c r="A204" t="s">
        <v>32</v>
      </c>
      <c r="B204" t="s">
        <v>186</v>
      </c>
      <c r="C204">
        <v>1</v>
      </c>
      <c r="D204">
        <f>betterSearch(A204,nodes!A:A,nodes!B:B)</f>
        <v>30</v>
      </c>
      <c r="E204">
        <f>betterSearch(B204,nodes!A:A,nodes!B:B)</f>
        <v>184</v>
      </c>
      <c r="F204" t="s">
        <v>279</v>
      </c>
      <c r="G204" t="s">
        <v>280</v>
      </c>
      <c r="H204" t="s">
        <v>281</v>
      </c>
      <c r="I204" t="s">
        <v>276</v>
      </c>
      <c r="J204" t="str">
        <f t="shared" si="3"/>
        <v>{"source":30,"target":184,"value":1},</v>
      </c>
    </row>
    <row r="205" spans="1:10" x14ac:dyDescent="0.25">
      <c r="A205" t="s">
        <v>3</v>
      </c>
      <c r="B205" t="s">
        <v>187</v>
      </c>
      <c r="C205">
        <v>1</v>
      </c>
      <c r="D205">
        <f>betterSearch(A205,nodes!A:A,nodes!B:B)</f>
        <v>1</v>
      </c>
      <c r="E205">
        <f>betterSearch(B205,nodes!A:A,nodes!B:B)</f>
        <v>185</v>
      </c>
      <c r="F205" t="s">
        <v>279</v>
      </c>
      <c r="G205" t="s">
        <v>280</v>
      </c>
      <c r="H205" t="s">
        <v>281</v>
      </c>
      <c r="I205" t="s">
        <v>276</v>
      </c>
      <c r="J205" t="str">
        <f t="shared" si="3"/>
        <v>{"source":1,"target":185,"value":1},</v>
      </c>
    </row>
    <row r="206" spans="1:10" x14ac:dyDescent="0.25">
      <c r="A206" t="s">
        <v>3</v>
      </c>
      <c r="B206" t="s">
        <v>188</v>
      </c>
      <c r="C206">
        <v>1</v>
      </c>
      <c r="D206">
        <f>betterSearch(A206,nodes!A:A,nodes!B:B)</f>
        <v>1</v>
      </c>
      <c r="E206">
        <f>betterSearch(B206,nodes!A:A,nodes!B:B)</f>
        <v>186</v>
      </c>
      <c r="F206" t="s">
        <v>279</v>
      </c>
      <c r="G206" t="s">
        <v>280</v>
      </c>
      <c r="H206" t="s">
        <v>281</v>
      </c>
      <c r="I206" t="s">
        <v>276</v>
      </c>
      <c r="J206" t="str">
        <f t="shared" si="3"/>
        <v>{"source":1,"target":186,"value":1},</v>
      </c>
    </row>
    <row r="207" spans="1:10" x14ac:dyDescent="0.25">
      <c r="A207" t="s">
        <v>3</v>
      </c>
      <c r="B207" t="s">
        <v>189</v>
      </c>
      <c r="C207">
        <v>1</v>
      </c>
      <c r="D207">
        <f>betterSearch(A207,nodes!A:A,nodes!B:B)</f>
        <v>1</v>
      </c>
      <c r="E207">
        <f>betterSearch(B207,nodes!A:A,nodes!B:B)</f>
        <v>187</v>
      </c>
      <c r="F207" t="s">
        <v>279</v>
      </c>
      <c r="G207" t="s">
        <v>280</v>
      </c>
      <c r="H207" t="s">
        <v>281</v>
      </c>
      <c r="I207" t="s">
        <v>276</v>
      </c>
      <c r="J207" t="str">
        <f t="shared" si="3"/>
        <v>{"source":1,"target":187,"value":1},</v>
      </c>
    </row>
    <row r="208" spans="1:10" x14ac:dyDescent="0.25">
      <c r="A208" t="s">
        <v>3</v>
      </c>
      <c r="B208" t="s">
        <v>190</v>
      </c>
      <c r="C208">
        <v>1</v>
      </c>
      <c r="D208">
        <f>betterSearch(A208,nodes!A:A,nodes!B:B)</f>
        <v>1</v>
      </c>
      <c r="E208">
        <f>betterSearch(B208,nodes!A:A,nodes!B:B)</f>
        <v>188</v>
      </c>
      <c r="F208" t="s">
        <v>279</v>
      </c>
      <c r="G208" t="s">
        <v>280</v>
      </c>
      <c r="H208" t="s">
        <v>281</v>
      </c>
      <c r="I208" t="s">
        <v>276</v>
      </c>
      <c r="J208" t="str">
        <f t="shared" si="3"/>
        <v>{"source":1,"target":188,"value":1},</v>
      </c>
    </row>
    <row r="209" spans="1:10" x14ac:dyDescent="0.25">
      <c r="A209" t="s">
        <v>3</v>
      </c>
      <c r="B209" t="s">
        <v>191</v>
      </c>
      <c r="C209">
        <v>1</v>
      </c>
      <c r="D209">
        <f>betterSearch(A209,nodes!A:A,nodes!B:B)</f>
        <v>1</v>
      </c>
      <c r="E209">
        <f>betterSearch(B209,nodes!A:A,nodes!B:B)</f>
        <v>189</v>
      </c>
      <c r="F209" t="s">
        <v>279</v>
      </c>
      <c r="G209" t="s">
        <v>280</v>
      </c>
      <c r="H209" t="s">
        <v>281</v>
      </c>
      <c r="I209" t="s">
        <v>276</v>
      </c>
      <c r="J209" t="str">
        <f t="shared" si="3"/>
        <v>{"source":1,"target":189,"value":1},</v>
      </c>
    </row>
    <row r="210" spans="1:10" x14ac:dyDescent="0.25">
      <c r="A210" t="s">
        <v>3</v>
      </c>
      <c r="B210" t="s">
        <v>192</v>
      </c>
      <c r="C210">
        <v>1</v>
      </c>
      <c r="D210">
        <f>betterSearch(A210,nodes!A:A,nodes!B:B)</f>
        <v>1</v>
      </c>
      <c r="E210">
        <f>betterSearch(B210,nodes!A:A,nodes!B:B)</f>
        <v>190</v>
      </c>
      <c r="F210" t="s">
        <v>279</v>
      </c>
      <c r="G210" t="s">
        <v>280</v>
      </c>
      <c r="H210" t="s">
        <v>281</v>
      </c>
      <c r="I210" t="s">
        <v>276</v>
      </c>
      <c r="J210" t="str">
        <f t="shared" si="3"/>
        <v>{"source":1,"target":190,"value":1},</v>
      </c>
    </row>
    <row r="211" spans="1:10" x14ac:dyDescent="0.25">
      <c r="A211" t="s">
        <v>3</v>
      </c>
      <c r="B211" t="s">
        <v>193</v>
      </c>
      <c r="C211">
        <v>1</v>
      </c>
      <c r="D211">
        <f>betterSearch(A211,nodes!A:A,nodes!B:B)</f>
        <v>1</v>
      </c>
      <c r="E211">
        <f>betterSearch(B211,nodes!A:A,nodes!B:B)</f>
        <v>191</v>
      </c>
      <c r="F211" t="s">
        <v>279</v>
      </c>
      <c r="G211" t="s">
        <v>280</v>
      </c>
      <c r="H211" t="s">
        <v>281</v>
      </c>
      <c r="I211" t="s">
        <v>276</v>
      </c>
      <c r="J211" t="str">
        <f t="shared" si="3"/>
        <v>{"source":1,"target":191,"value":1},</v>
      </c>
    </row>
    <row r="212" spans="1:10" x14ac:dyDescent="0.25">
      <c r="A212" t="s">
        <v>3</v>
      </c>
      <c r="B212" t="s">
        <v>194</v>
      </c>
      <c r="C212">
        <v>1</v>
      </c>
      <c r="D212">
        <f>betterSearch(A212,nodes!A:A,nodes!B:B)</f>
        <v>1</v>
      </c>
      <c r="E212">
        <f>betterSearch(B212,nodes!A:A,nodes!B:B)</f>
        <v>192</v>
      </c>
      <c r="F212" t="s">
        <v>279</v>
      </c>
      <c r="G212" t="s">
        <v>280</v>
      </c>
      <c r="H212" t="s">
        <v>281</v>
      </c>
      <c r="I212" t="s">
        <v>276</v>
      </c>
      <c r="J212" t="str">
        <f t="shared" si="3"/>
        <v>{"source":1,"target":192,"value":1},</v>
      </c>
    </row>
    <row r="213" spans="1:10" x14ac:dyDescent="0.25">
      <c r="A213" t="s">
        <v>3</v>
      </c>
      <c r="B213" t="s">
        <v>195</v>
      </c>
      <c r="C213">
        <v>1</v>
      </c>
      <c r="D213">
        <f>betterSearch(A213,nodes!A:A,nodes!B:B)</f>
        <v>1</v>
      </c>
      <c r="E213">
        <f>betterSearch(B213,nodes!A:A,nodes!B:B)</f>
        <v>193</v>
      </c>
      <c r="F213" t="s">
        <v>279</v>
      </c>
      <c r="G213" t="s">
        <v>280</v>
      </c>
      <c r="H213" t="s">
        <v>281</v>
      </c>
      <c r="I213" t="s">
        <v>276</v>
      </c>
      <c r="J213" t="str">
        <f t="shared" si="3"/>
        <v>{"source":1,"target":193,"value":1},</v>
      </c>
    </row>
    <row r="214" spans="1:10" x14ac:dyDescent="0.25">
      <c r="A214" t="s">
        <v>33</v>
      </c>
      <c r="B214" t="s">
        <v>196</v>
      </c>
      <c r="C214">
        <v>1</v>
      </c>
      <c r="D214">
        <f>betterSearch(A214,nodes!A:A,nodes!B:B)</f>
        <v>31</v>
      </c>
      <c r="E214">
        <f>betterSearch(B214,nodes!A:A,nodes!B:B)</f>
        <v>194</v>
      </c>
      <c r="F214" t="s">
        <v>279</v>
      </c>
      <c r="G214" t="s">
        <v>280</v>
      </c>
      <c r="H214" t="s">
        <v>281</v>
      </c>
      <c r="I214" t="s">
        <v>276</v>
      </c>
      <c r="J214" t="str">
        <f t="shared" si="3"/>
        <v>{"source":31,"target":194,"value":1},</v>
      </c>
    </row>
    <row r="215" spans="1:10" x14ac:dyDescent="0.25">
      <c r="A215" t="s">
        <v>18</v>
      </c>
      <c r="B215" t="s">
        <v>197</v>
      </c>
      <c r="C215">
        <v>1</v>
      </c>
      <c r="D215">
        <f>betterSearch(A215,nodes!A:A,nodes!B:B)</f>
        <v>16</v>
      </c>
      <c r="E215">
        <f>betterSearch(B215,nodes!A:A,nodes!B:B)</f>
        <v>195</v>
      </c>
      <c r="F215" t="s">
        <v>279</v>
      </c>
      <c r="G215" t="s">
        <v>280</v>
      </c>
      <c r="H215" t="s">
        <v>281</v>
      </c>
      <c r="I215" t="s">
        <v>276</v>
      </c>
      <c r="J215" t="str">
        <f t="shared" si="3"/>
        <v>{"source":16,"target":195,"value":1},</v>
      </c>
    </row>
    <row r="216" spans="1:10" x14ac:dyDescent="0.25">
      <c r="A216" t="s">
        <v>18</v>
      </c>
      <c r="B216" t="s">
        <v>198</v>
      </c>
      <c r="C216">
        <v>1</v>
      </c>
      <c r="D216">
        <f>betterSearch(A216,nodes!A:A,nodes!B:B)</f>
        <v>16</v>
      </c>
      <c r="E216">
        <f>betterSearch(B216,nodes!A:A,nodes!B:B)</f>
        <v>196</v>
      </c>
      <c r="F216" t="s">
        <v>279</v>
      </c>
      <c r="G216" t="s">
        <v>280</v>
      </c>
      <c r="H216" t="s">
        <v>281</v>
      </c>
      <c r="I216" t="s">
        <v>276</v>
      </c>
      <c r="J216" t="str">
        <f t="shared" si="3"/>
        <v>{"source":16,"target":196,"value":1},</v>
      </c>
    </row>
    <row r="217" spans="1:10" x14ac:dyDescent="0.25">
      <c r="A217" t="s">
        <v>34</v>
      </c>
      <c r="B217" t="s">
        <v>199</v>
      </c>
      <c r="C217">
        <v>1</v>
      </c>
      <c r="D217">
        <f>betterSearch(A217,nodes!A:A,nodes!B:B)</f>
        <v>32</v>
      </c>
      <c r="E217">
        <f>betterSearch(B217,nodes!A:A,nodes!B:B)</f>
        <v>197</v>
      </c>
      <c r="F217" t="s">
        <v>279</v>
      </c>
      <c r="G217" t="s">
        <v>280</v>
      </c>
      <c r="H217" t="s">
        <v>281</v>
      </c>
      <c r="I217" t="s">
        <v>276</v>
      </c>
      <c r="J217" t="str">
        <f t="shared" si="3"/>
        <v>{"source":32,"target":197,"value":1},</v>
      </c>
    </row>
    <row r="218" spans="1:10" x14ac:dyDescent="0.25">
      <c r="A218" t="s">
        <v>18</v>
      </c>
      <c r="B218" t="s">
        <v>200</v>
      </c>
      <c r="C218">
        <v>1</v>
      </c>
      <c r="D218">
        <f>betterSearch(A218,nodes!A:A,nodes!B:B)</f>
        <v>16</v>
      </c>
      <c r="E218">
        <f>betterSearch(B218,nodes!A:A,nodes!B:B)</f>
        <v>198</v>
      </c>
      <c r="F218" t="s">
        <v>279</v>
      </c>
      <c r="G218" t="s">
        <v>280</v>
      </c>
      <c r="H218" t="s">
        <v>281</v>
      </c>
      <c r="I218" t="s">
        <v>276</v>
      </c>
      <c r="J218" t="str">
        <f t="shared" si="3"/>
        <v>{"source":16,"target":198,"value":1},</v>
      </c>
    </row>
    <row r="219" spans="1:10" x14ac:dyDescent="0.25">
      <c r="A219" t="s">
        <v>35</v>
      </c>
      <c r="B219" t="s">
        <v>201</v>
      </c>
      <c r="C219">
        <v>1</v>
      </c>
      <c r="D219">
        <f>betterSearch(A219,nodes!A:A,nodes!B:B)</f>
        <v>33</v>
      </c>
      <c r="E219">
        <f>betterSearch(B219,nodes!A:A,nodes!B:B)</f>
        <v>199</v>
      </c>
      <c r="F219" t="s">
        <v>279</v>
      </c>
      <c r="G219" t="s">
        <v>280</v>
      </c>
      <c r="H219" t="s">
        <v>281</v>
      </c>
      <c r="I219" t="s">
        <v>276</v>
      </c>
      <c r="J219" t="str">
        <f t="shared" si="3"/>
        <v>{"source":33,"target":199,"value":1},</v>
      </c>
    </row>
    <row r="220" spans="1:10" x14ac:dyDescent="0.25">
      <c r="A220" t="s">
        <v>35</v>
      </c>
      <c r="B220" t="s">
        <v>202</v>
      </c>
      <c r="C220">
        <v>1</v>
      </c>
      <c r="D220">
        <f>betterSearch(A220,nodes!A:A,nodes!B:B)</f>
        <v>33</v>
      </c>
      <c r="E220">
        <f>betterSearch(B220,nodes!A:A,nodes!B:B)</f>
        <v>200</v>
      </c>
      <c r="F220" t="s">
        <v>279</v>
      </c>
      <c r="G220" t="s">
        <v>280</v>
      </c>
      <c r="H220" t="s">
        <v>281</v>
      </c>
      <c r="I220" t="s">
        <v>276</v>
      </c>
      <c r="J220" t="str">
        <f t="shared" si="3"/>
        <v>{"source":33,"target":200,"value":1},</v>
      </c>
    </row>
    <row r="221" spans="1:10" x14ac:dyDescent="0.25">
      <c r="A221" t="s">
        <v>36</v>
      </c>
      <c r="B221" t="s">
        <v>203</v>
      </c>
      <c r="C221">
        <v>1</v>
      </c>
      <c r="D221">
        <f>betterSearch(A221,nodes!A:A,nodes!B:B)</f>
        <v>34</v>
      </c>
      <c r="E221">
        <f>betterSearch(B221,nodes!A:A,nodes!B:B)</f>
        <v>201</v>
      </c>
      <c r="F221" t="s">
        <v>279</v>
      </c>
      <c r="G221" t="s">
        <v>280</v>
      </c>
      <c r="H221" t="s">
        <v>281</v>
      </c>
      <c r="I221" t="s">
        <v>276</v>
      </c>
      <c r="J221" t="str">
        <f t="shared" si="3"/>
        <v>{"source":34,"target":201,"value":1},</v>
      </c>
    </row>
    <row r="222" spans="1:10" x14ac:dyDescent="0.25">
      <c r="A222" t="s">
        <v>36</v>
      </c>
      <c r="B222" t="s">
        <v>204</v>
      </c>
      <c r="C222">
        <v>1</v>
      </c>
      <c r="D222">
        <f>betterSearch(A222,nodes!A:A,nodes!B:B)</f>
        <v>34</v>
      </c>
      <c r="E222">
        <f>betterSearch(B222,nodes!A:A,nodes!B:B)</f>
        <v>202</v>
      </c>
      <c r="F222" t="s">
        <v>279</v>
      </c>
      <c r="G222" t="s">
        <v>280</v>
      </c>
      <c r="H222" t="s">
        <v>281</v>
      </c>
      <c r="I222" t="s">
        <v>276</v>
      </c>
      <c r="J222" t="str">
        <f t="shared" si="3"/>
        <v>{"source":34,"target":202,"value":1},</v>
      </c>
    </row>
    <row r="223" spans="1:10" x14ac:dyDescent="0.25">
      <c r="A223" t="s">
        <v>37</v>
      </c>
      <c r="B223" t="s">
        <v>205</v>
      </c>
      <c r="C223">
        <v>1</v>
      </c>
      <c r="D223">
        <f>betterSearch(A223,nodes!A:A,nodes!B:B)</f>
        <v>35</v>
      </c>
      <c r="E223">
        <f>betterSearch(B223,nodes!A:A,nodes!B:B)</f>
        <v>203</v>
      </c>
      <c r="F223" t="s">
        <v>279</v>
      </c>
      <c r="G223" t="s">
        <v>280</v>
      </c>
      <c r="H223" t="s">
        <v>281</v>
      </c>
      <c r="I223" t="s">
        <v>276</v>
      </c>
      <c r="J223" t="str">
        <f t="shared" si="3"/>
        <v>{"source":35,"target":203,"value":1},</v>
      </c>
    </row>
    <row r="224" spans="1:10" x14ac:dyDescent="0.25">
      <c r="A224" t="s">
        <v>37</v>
      </c>
      <c r="B224" t="s">
        <v>206</v>
      </c>
      <c r="C224">
        <v>1</v>
      </c>
      <c r="D224">
        <f>betterSearch(A224,nodes!A:A,nodes!B:B)</f>
        <v>35</v>
      </c>
      <c r="E224">
        <f>betterSearch(B224,nodes!A:A,nodes!B:B)</f>
        <v>204</v>
      </c>
      <c r="F224" t="s">
        <v>279</v>
      </c>
      <c r="G224" t="s">
        <v>280</v>
      </c>
      <c r="H224" t="s">
        <v>281</v>
      </c>
      <c r="I224" t="s">
        <v>276</v>
      </c>
      <c r="J224" t="str">
        <f t="shared" si="3"/>
        <v>{"source":35,"target":204,"value":1},</v>
      </c>
    </row>
    <row r="225" spans="1:10" x14ac:dyDescent="0.25">
      <c r="A225" t="s">
        <v>37</v>
      </c>
      <c r="B225" t="s">
        <v>207</v>
      </c>
      <c r="C225">
        <v>1</v>
      </c>
      <c r="D225">
        <f>betterSearch(A225,nodes!A:A,nodes!B:B)</f>
        <v>35</v>
      </c>
      <c r="E225">
        <f>betterSearch(B225,nodes!A:A,nodes!B:B)</f>
        <v>205</v>
      </c>
      <c r="F225" t="s">
        <v>279</v>
      </c>
      <c r="G225" t="s">
        <v>280</v>
      </c>
      <c r="H225" t="s">
        <v>281</v>
      </c>
      <c r="I225" t="s">
        <v>276</v>
      </c>
      <c r="J225" t="str">
        <f t="shared" si="3"/>
        <v>{"source":35,"target":205,"value":1},</v>
      </c>
    </row>
    <row r="226" spans="1:10" x14ac:dyDescent="0.25">
      <c r="A226" t="s">
        <v>37</v>
      </c>
      <c r="B226" t="s">
        <v>208</v>
      </c>
      <c r="C226">
        <v>1</v>
      </c>
      <c r="D226">
        <f>betterSearch(A226,nodes!A:A,nodes!B:B)</f>
        <v>35</v>
      </c>
      <c r="E226">
        <f>betterSearch(B226,nodes!A:A,nodes!B:B)</f>
        <v>206</v>
      </c>
      <c r="F226" t="s">
        <v>279</v>
      </c>
      <c r="G226" t="s">
        <v>280</v>
      </c>
      <c r="H226" t="s">
        <v>281</v>
      </c>
      <c r="I226" t="s">
        <v>276</v>
      </c>
      <c r="J226" t="str">
        <f t="shared" si="3"/>
        <v>{"source":35,"target":206,"value":1},</v>
      </c>
    </row>
    <row r="227" spans="1:10" x14ac:dyDescent="0.25">
      <c r="A227" t="s">
        <v>6</v>
      </c>
      <c r="B227" t="s">
        <v>209</v>
      </c>
      <c r="C227">
        <v>1</v>
      </c>
      <c r="D227">
        <f>betterSearch(A227,nodes!A:A,nodes!B:B)</f>
        <v>4</v>
      </c>
      <c r="E227">
        <f>betterSearch(B227,nodes!A:A,nodes!B:B)</f>
        <v>207</v>
      </c>
      <c r="F227" t="s">
        <v>279</v>
      </c>
      <c r="G227" t="s">
        <v>280</v>
      </c>
      <c r="H227" t="s">
        <v>281</v>
      </c>
      <c r="I227" t="s">
        <v>276</v>
      </c>
      <c r="J227" t="str">
        <f t="shared" si="3"/>
        <v>{"source":4,"target":207,"value":1},</v>
      </c>
    </row>
    <row r="228" spans="1:10" x14ac:dyDescent="0.25">
      <c r="A228" t="s">
        <v>6</v>
      </c>
      <c r="B228" t="s">
        <v>210</v>
      </c>
      <c r="C228">
        <v>1</v>
      </c>
      <c r="D228">
        <f>betterSearch(A228,nodes!A:A,nodes!B:B)</f>
        <v>4</v>
      </c>
      <c r="E228">
        <f>betterSearch(B228,nodes!A:A,nodes!B:B)</f>
        <v>208</v>
      </c>
      <c r="F228" t="s">
        <v>279</v>
      </c>
      <c r="G228" t="s">
        <v>280</v>
      </c>
      <c r="H228" t="s">
        <v>281</v>
      </c>
      <c r="I228" t="s">
        <v>276</v>
      </c>
      <c r="J228" t="str">
        <f t="shared" si="3"/>
        <v>{"source":4,"target":208,"value":1},</v>
      </c>
    </row>
    <row r="229" spans="1:10" x14ac:dyDescent="0.25">
      <c r="A229" t="s">
        <v>28</v>
      </c>
      <c r="B229" t="s">
        <v>211</v>
      </c>
      <c r="C229">
        <v>1</v>
      </c>
      <c r="D229">
        <f>betterSearch(A229,nodes!A:A,nodes!B:B)</f>
        <v>26</v>
      </c>
      <c r="E229">
        <f>betterSearch(B229,nodes!A:A,nodes!B:B)</f>
        <v>209</v>
      </c>
      <c r="F229" t="s">
        <v>279</v>
      </c>
      <c r="G229" t="s">
        <v>280</v>
      </c>
      <c r="H229" t="s">
        <v>281</v>
      </c>
      <c r="I229" t="s">
        <v>276</v>
      </c>
      <c r="J229" t="str">
        <f t="shared" si="3"/>
        <v>{"source":26,"target":209,"value":1},</v>
      </c>
    </row>
    <row r="230" spans="1:10" x14ac:dyDescent="0.25">
      <c r="A230" t="s">
        <v>38</v>
      </c>
      <c r="B230" t="s">
        <v>211</v>
      </c>
      <c r="C230">
        <v>1</v>
      </c>
      <c r="D230">
        <f>betterSearch(A230,nodes!A:A,nodes!B:B)</f>
        <v>36</v>
      </c>
      <c r="E230">
        <f>betterSearch(B230,nodes!A:A,nodes!B:B)</f>
        <v>209</v>
      </c>
      <c r="F230" t="s">
        <v>279</v>
      </c>
      <c r="G230" t="s">
        <v>280</v>
      </c>
      <c r="H230" t="s">
        <v>281</v>
      </c>
      <c r="I230" t="s">
        <v>276</v>
      </c>
      <c r="J230" t="str">
        <f t="shared" si="3"/>
        <v>{"source":36,"target":209,"value":1},</v>
      </c>
    </row>
    <row r="231" spans="1:10" x14ac:dyDescent="0.25">
      <c r="A231" t="s">
        <v>39</v>
      </c>
      <c r="B231" t="s">
        <v>212</v>
      </c>
      <c r="C231">
        <v>1</v>
      </c>
      <c r="D231">
        <f>betterSearch(A231,nodes!A:A,nodes!B:B)</f>
        <v>37</v>
      </c>
      <c r="E231">
        <f>betterSearch(B231,nodes!A:A,nodes!B:B)</f>
        <v>210</v>
      </c>
      <c r="F231" t="s">
        <v>279</v>
      </c>
      <c r="G231" t="s">
        <v>280</v>
      </c>
      <c r="H231" t="s">
        <v>281</v>
      </c>
      <c r="I231" t="s">
        <v>276</v>
      </c>
      <c r="J231" t="str">
        <f t="shared" si="3"/>
        <v>{"source":37,"target":210,"value":1},</v>
      </c>
    </row>
    <row r="232" spans="1:10" x14ac:dyDescent="0.25">
      <c r="A232" t="s">
        <v>13</v>
      </c>
      <c r="B232" t="s">
        <v>213</v>
      </c>
      <c r="C232">
        <v>1</v>
      </c>
      <c r="D232">
        <f>betterSearch(A232,nodes!A:A,nodes!B:B)</f>
        <v>11</v>
      </c>
      <c r="E232">
        <f>betterSearch(B232,nodes!A:A,nodes!B:B)</f>
        <v>211</v>
      </c>
      <c r="F232" t="s">
        <v>279</v>
      </c>
      <c r="G232" t="s">
        <v>280</v>
      </c>
      <c r="H232" t="s">
        <v>281</v>
      </c>
      <c r="I232" t="s">
        <v>276</v>
      </c>
      <c r="J232" t="str">
        <f t="shared" si="3"/>
        <v>{"source":11,"target":211,"value":1},</v>
      </c>
    </row>
    <row r="233" spans="1:10" x14ac:dyDescent="0.25">
      <c r="A233" t="s">
        <v>40</v>
      </c>
      <c r="B233" t="s">
        <v>214</v>
      </c>
      <c r="C233">
        <v>1</v>
      </c>
      <c r="D233">
        <f>betterSearch(A233,nodes!A:A,nodes!B:B)</f>
        <v>38</v>
      </c>
      <c r="E233">
        <f>betterSearch(B233,nodes!A:A,nodes!B:B)</f>
        <v>212</v>
      </c>
      <c r="F233" t="s">
        <v>279</v>
      </c>
      <c r="G233" t="s">
        <v>280</v>
      </c>
      <c r="H233" t="s">
        <v>281</v>
      </c>
      <c r="I233" t="s">
        <v>276</v>
      </c>
      <c r="J233" t="str">
        <f t="shared" si="3"/>
        <v>{"source":38,"target":212,"value":1},</v>
      </c>
    </row>
    <row r="234" spans="1:10" x14ac:dyDescent="0.25">
      <c r="A234" t="s">
        <v>41</v>
      </c>
      <c r="B234" t="s">
        <v>214</v>
      </c>
      <c r="C234">
        <v>1</v>
      </c>
      <c r="D234">
        <f>betterSearch(A234,nodes!A:A,nodes!B:B)</f>
        <v>39</v>
      </c>
      <c r="E234">
        <f>betterSearch(B234,nodes!A:A,nodes!B:B)</f>
        <v>212</v>
      </c>
      <c r="F234" t="s">
        <v>279</v>
      </c>
      <c r="G234" t="s">
        <v>280</v>
      </c>
      <c r="H234" t="s">
        <v>281</v>
      </c>
      <c r="I234" t="s">
        <v>276</v>
      </c>
      <c r="J234" t="str">
        <f t="shared" si="3"/>
        <v>{"source":39,"target":212,"value":1},</v>
      </c>
    </row>
    <row r="235" spans="1:10" x14ac:dyDescent="0.25">
      <c r="A235" t="s">
        <v>40</v>
      </c>
      <c r="B235" t="s">
        <v>215</v>
      </c>
      <c r="C235">
        <v>1</v>
      </c>
      <c r="D235">
        <f>betterSearch(A235,nodes!A:A,nodes!B:B)</f>
        <v>38</v>
      </c>
      <c r="E235">
        <f>betterSearch(B235,nodes!A:A,nodes!B:B)</f>
        <v>213</v>
      </c>
      <c r="F235" t="s">
        <v>279</v>
      </c>
      <c r="G235" t="s">
        <v>280</v>
      </c>
      <c r="H235" t="s">
        <v>281</v>
      </c>
      <c r="I235" t="s">
        <v>276</v>
      </c>
      <c r="J235" t="str">
        <f t="shared" si="3"/>
        <v>{"source":38,"target":213,"value":1},</v>
      </c>
    </row>
    <row r="236" spans="1:10" x14ac:dyDescent="0.25">
      <c r="A236" t="s">
        <v>41</v>
      </c>
      <c r="B236" t="s">
        <v>215</v>
      </c>
      <c r="C236">
        <v>1</v>
      </c>
      <c r="D236">
        <f>betterSearch(A236,nodes!A:A,nodes!B:B)</f>
        <v>39</v>
      </c>
      <c r="E236">
        <f>betterSearch(B236,nodes!A:A,nodes!B:B)</f>
        <v>213</v>
      </c>
      <c r="F236" t="s">
        <v>279</v>
      </c>
      <c r="G236" t="s">
        <v>280</v>
      </c>
      <c r="H236" t="s">
        <v>281</v>
      </c>
      <c r="I236" t="s">
        <v>276</v>
      </c>
      <c r="J236" t="str">
        <f t="shared" si="3"/>
        <v>{"source":39,"target":213,"value":1},</v>
      </c>
    </row>
    <row r="237" spans="1:10" x14ac:dyDescent="0.25">
      <c r="A237" t="s">
        <v>42</v>
      </c>
      <c r="B237" t="s">
        <v>216</v>
      </c>
      <c r="C237">
        <v>1</v>
      </c>
      <c r="D237">
        <f>betterSearch(A237,nodes!A:A,nodes!B:B)</f>
        <v>40</v>
      </c>
      <c r="E237">
        <f>betterSearch(B237,nodes!A:A,nodes!B:B)</f>
        <v>214</v>
      </c>
      <c r="F237" t="s">
        <v>279</v>
      </c>
      <c r="G237" t="s">
        <v>280</v>
      </c>
      <c r="H237" t="s">
        <v>281</v>
      </c>
      <c r="I237" t="s">
        <v>276</v>
      </c>
      <c r="J237" t="str">
        <f t="shared" si="3"/>
        <v>{"source":40,"target":214,"value":1},</v>
      </c>
    </row>
    <row r="238" spans="1:10" x14ac:dyDescent="0.25">
      <c r="A238" t="s">
        <v>26</v>
      </c>
      <c r="B238" t="s">
        <v>217</v>
      </c>
      <c r="C238">
        <v>1</v>
      </c>
      <c r="D238">
        <f>betterSearch(A238,nodes!A:A,nodes!B:B)</f>
        <v>24</v>
      </c>
      <c r="E238">
        <f>betterSearch(B238,nodes!A:A,nodes!B:B)</f>
        <v>215</v>
      </c>
      <c r="F238" t="s">
        <v>279</v>
      </c>
      <c r="G238" t="s">
        <v>280</v>
      </c>
      <c r="H238" t="s">
        <v>281</v>
      </c>
      <c r="I238" t="s">
        <v>276</v>
      </c>
      <c r="J238" t="str">
        <f t="shared" si="3"/>
        <v>{"source":24,"target":215,"value":1},</v>
      </c>
    </row>
    <row r="239" spans="1:10" x14ac:dyDescent="0.25">
      <c r="A239" t="s">
        <v>29</v>
      </c>
      <c r="B239" t="s">
        <v>218</v>
      </c>
      <c r="C239">
        <v>1</v>
      </c>
      <c r="D239">
        <f>betterSearch(A239,nodes!A:A,nodes!B:B)</f>
        <v>27</v>
      </c>
      <c r="E239">
        <f>betterSearch(B239,nodes!A:A,nodes!B:B)</f>
        <v>216</v>
      </c>
      <c r="F239" t="s">
        <v>279</v>
      </c>
      <c r="G239" t="s">
        <v>280</v>
      </c>
      <c r="H239" t="s">
        <v>281</v>
      </c>
      <c r="I239" t="s">
        <v>276</v>
      </c>
      <c r="J239" t="str">
        <f t="shared" si="3"/>
        <v>{"source":27,"target":216,"value":1},</v>
      </c>
    </row>
    <row r="240" spans="1:10" x14ac:dyDescent="0.25">
      <c r="A240" t="s">
        <v>43</v>
      </c>
      <c r="B240" t="s">
        <v>218</v>
      </c>
      <c r="C240">
        <v>1</v>
      </c>
      <c r="D240">
        <f>betterSearch(A240,nodes!A:A,nodes!B:B)</f>
        <v>41</v>
      </c>
      <c r="E240">
        <f>betterSearch(B240,nodes!A:A,nodes!B:B)</f>
        <v>216</v>
      </c>
      <c r="F240" t="s">
        <v>279</v>
      </c>
      <c r="G240" t="s">
        <v>280</v>
      </c>
      <c r="H240" t="s">
        <v>281</v>
      </c>
      <c r="I240" t="s">
        <v>276</v>
      </c>
      <c r="J240" t="str">
        <f t="shared" si="3"/>
        <v>{"source":41,"target":216,"value":1},</v>
      </c>
    </row>
    <row r="241" spans="1:10" x14ac:dyDescent="0.25">
      <c r="A241" t="s">
        <v>43</v>
      </c>
      <c r="B241" t="s">
        <v>219</v>
      </c>
      <c r="C241">
        <v>1</v>
      </c>
      <c r="D241">
        <f>betterSearch(A241,nodes!A:A,nodes!B:B)</f>
        <v>41</v>
      </c>
      <c r="E241">
        <f>betterSearch(B241,nodes!A:A,nodes!B:B)</f>
        <v>217</v>
      </c>
      <c r="F241" t="s">
        <v>279</v>
      </c>
      <c r="G241" t="s">
        <v>280</v>
      </c>
      <c r="H241" t="s">
        <v>281</v>
      </c>
      <c r="I241" t="s">
        <v>276</v>
      </c>
      <c r="J241" t="str">
        <f t="shared" si="3"/>
        <v>{"source":41,"target":217,"value":1},</v>
      </c>
    </row>
    <row r="242" spans="1:10" x14ac:dyDescent="0.25">
      <c r="A242" t="s">
        <v>3</v>
      </c>
      <c r="B242" t="s">
        <v>220</v>
      </c>
      <c r="C242">
        <v>1</v>
      </c>
      <c r="D242">
        <f>betterSearch(A242,nodes!A:A,nodes!B:B)</f>
        <v>1</v>
      </c>
      <c r="E242">
        <f>betterSearch(B242,nodes!A:A,nodes!B:B)</f>
        <v>218</v>
      </c>
      <c r="F242" t="s">
        <v>279</v>
      </c>
      <c r="G242" t="s">
        <v>280</v>
      </c>
      <c r="H242" t="s">
        <v>281</v>
      </c>
      <c r="I242" t="s">
        <v>276</v>
      </c>
      <c r="J242" t="str">
        <f t="shared" si="3"/>
        <v>{"source":1,"target":218,"value":1},</v>
      </c>
    </row>
    <row r="243" spans="1:10" x14ac:dyDescent="0.25">
      <c r="A243" t="s">
        <v>3</v>
      </c>
      <c r="B243" t="s">
        <v>221</v>
      </c>
      <c r="C243">
        <v>1</v>
      </c>
      <c r="D243">
        <f>betterSearch(A243,nodes!A:A,nodes!B:B)</f>
        <v>1</v>
      </c>
      <c r="E243">
        <f>betterSearch(B243,nodes!A:A,nodes!B:B)</f>
        <v>219</v>
      </c>
      <c r="F243" t="s">
        <v>279</v>
      </c>
      <c r="G243" t="s">
        <v>280</v>
      </c>
      <c r="H243" t="s">
        <v>281</v>
      </c>
      <c r="I243" t="s">
        <v>276</v>
      </c>
      <c r="J243" t="str">
        <f t="shared" si="3"/>
        <v>{"source":1,"target":219,"value":1},</v>
      </c>
    </row>
    <row r="244" spans="1:10" x14ac:dyDescent="0.25">
      <c r="A244" t="s">
        <v>9</v>
      </c>
      <c r="B244" t="s">
        <v>209</v>
      </c>
      <c r="C244">
        <v>1</v>
      </c>
      <c r="D244">
        <f>betterSearch(A244,nodes!A:A,nodes!B:B)</f>
        <v>7</v>
      </c>
      <c r="E244">
        <f>betterSearch(B244,nodes!A:A,nodes!B:B)</f>
        <v>207</v>
      </c>
      <c r="F244" t="s">
        <v>279</v>
      </c>
      <c r="G244" t="s">
        <v>280</v>
      </c>
      <c r="H244" t="s">
        <v>281</v>
      </c>
      <c r="I244" t="s">
        <v>276</v>
      </c>
      <c r="J244" t="str">
        <f t="shared" si="3"/>
        <v>{"source":7,"target":207,"value":1},</v>
      </c>
    </row>
    <row r="245" spans="1:10" x14ac:dyDescent="0.25">
      <c r="A245" t="s">
        <v>11</v>
      </c>
      <c r="B245" t="s">
        <v>209</v>
      </c>
      <c r="C245">
        <v>1</v>
      </c>
      <c r="D245">
        <f>betterSearch(A245,nodes!A:A,nodes!B:B)</f>
        <v>9</v>
      </c>
      <c r="E245">
        <f>betterSearch(B245,nodes!A:A,nodes!B:B)</f>
        <v>207</v>
      </c>
      <c r="F245" t="s">
        <v>279</v>
      </c>
      <c r="G245" t="s">
        <v>280</v>
      </c>
      <c r="H245" t="s">
        <v>281</v>
      </c>
      <c r="I245" t="s">
        <v>276</v>
      </c>
      <c r="J245" t="str">
        <f t="shared" si="3"/>
        <v>{"source":9,"target":207,"value":1},</v>
      </c>
    </row>
    <row r="246" spans="1:10" x14ac:dyDescent="0.25">
      <c r="A246" t="s">
        <v>7</v>
      </c>
      <c r="B246" t="s">
        <v>209</v>
      </c>
      <c r="C246">
        <v>1</v>
      </c>
      <c r="D246">
        <f>betterSearch(A246,nodes!A:A,nodes!B:B)</f>
        <v>5</v>
      </c>
      <c r="E246">
        <f>betterSearch(B246,nodes!A:A,nodes!B:B)</f>
        <v>207</v>
      </c>
      <c r="F246" t="s">
        <v>279</v>
      </c>
      <c r="G246" t="s">
        <v>280</v>
      </c>
      <c r="H246" t="s">
        <v>281</v>
      </c>
      <c r="I246" t="s">
        <v>276</v>
      </c>
      <c r="J246" t="str">
        <f t="shared" si="3"/>
        <v>{"source":5,"target":207,"value":1},</v>
      </c>
    </row>
    <row r="247" spans="1:10" x14ac:dyDescent="0.25">
      <c r="A247" t="s">
        <v>44</v>
      </c>
      <c r="B247" t="s">
        <v>209</v>
      </c>
      <c r="C247">
        <v>1</v>
      </c>
      <c r="D247">
        <f>betterSearch(A247,nodes!A:A,nodes!B:B)</f>
        <v>42</v>
      </c>
      <c r="E247">
        <f>betterSearch(B247,nodes!A:A,nodes!B:B)</f>
        <v>207</v>
      </c>
      <c r="F247" t="s">
        <v>279</v>
      </c>
      <c r="G247" t="s">
        <v>280</v>
      </c>
      <c r="H247" t="s">
        <v>281</v>
      </c>
      <c r="I247" t="s">
        <v>276</v>
      </c>
      <c r="J247" t="str">
        <f t="shared" si="3"/>
        <v>{"source":42,"target":207,"value":1},</v>
      </c>
    </row>
    <row r="248" spans="1:10" x14ac:dyDescent="0.25">
      <c r="A248" t="s">
        <v>8</v>
      </c>
      <c r="B248" t="s">
        <v>210</v>
      </c>
      <c r="C248">
        <v>1</v>
      </c>
      <c r="D248">
        <f>betterSearch(A248,nodes!A:A,nodes!B:B)</f>
        <v>6</v>
      </c>
      <c r="E248">
        <f>betterSearch(B248,nodes!A:A,nodes!B:B)</f>
        <v>208</v>
      </c>
      <c r="F248" t="s">
        <v>279</v>
      </c>
      <c r="G248" t="s">
        <v>280</v>
      </c>
      <c r="H248" t="s">
        <v>281</v>
      </c>
      <c r="I248" t="s">
        <v>276</v>
      </c>
      <c r="J248" t="str">
        <f t="shared" si="3"/>
        <v>{"source":6,"target":208,"value":1},</v>
      </c>
    </row>
    <row r="249" spans="1:10" x14ac:dyDescent="0.25">
      <c r="A249" t="s">
        <v>45</v>
      </c>
      <c r="B249" t="s">
        <v>211</v>
      </c>
      <c r="C249">
        <v>1</v>
      </c>
      <c r="D249">
        <f>betterSearch(A249,nodes!A:A,nodes!B:B)</f>
        <v>43</v>
      </c>
      <c r="E249">
        <f>betterSearch(B249,nodes!A:A,nodes!B:B)</f>
        <v>209</v>
      </c>
      <c r="F249" t="s">
        <v>279</v>
      </c>
      <c r="G249" t="s">
        <v>280</v>
      </c>
      <c r="H249" t="s">
        <v>281</v>
      </c>
      <c r="I249" t="s">
        <v>276</v>
      </c>
      <c r="J249" t="str">
        <f t="shared" si="3"/>
        <v>{"source":43,"target":209,"value":1},</v>
      </c>
    </row>
    <row r="250" spans="1:10" x14ac:dyDescent="0.25">
      <c r="A250" t="s">
        <v>46</v>
      </c>
      <c r="B250" t="s">
        <v>211</v>
      </c>
      <c r="C250">
        <v>1</v>
      </c>
      <c r="D250">
        <f>betterSearch(A250,nodes!A:A,nodes!B:B)</f>
        <v>44</v>
      </c>
      <c r="E250">
        <f>betterSearch(B250,nodes!A:A,nodes!B:B)</f>
        <v>209</v>
      </c>
      <c r="F250" t="s">
        <v>279</v>
      </c>
      <c r="G250" t="s">
        <v>280</v>
      </c>
      <c r="H250" t="s">
        <v>281</v>
      </c>
      <c r="I250" t="s">
        <v>276</v>
      </c>
      <c r="J250" t="str">
        <f t="shared" si="3"/>
        <v>{"source":44,"target":209,"value":1},</v>
      </c>
    </row>
    <row r="251" spans="1:10" x14ac:dyDescent="0.25">
      <c r="A251" t="s">
        <v>47</v>
      </c>
      <c r="B251" t="s">
        <v>211</v>
      </c>
      <c r="C251">
        <v>1</v>
      </c>
      <c r="D251">
        <f>betterSearch(A251,nodes!A:A,nodes!B:B)</f>
        <v>45</v>
      </c>
      <c r="E251">
        <f>betterSearch(B251,nodes!A:A,nodes!B:B)</f>
        <v>209</v>
      </c>
      <c r="F251" t="s">
        <v>279</v>
      </c>
      <c r="G251" t="s">
        <v>280</v>
      </c>
      <c r="H251" t="s">
        <v>281</v>
      </c>
      <c r="I251" t="s">
        <v>276</v>
      </c>
      <c r="J251" t="str">
        <f t="shared" si="3"/>
        <v>{"source":45,"target":209,"value":1},</v>
      </c>
    </row>
    <row r="252" spans="1:10" x14ac:dyDescent="0.25">
      <c r="A252" t="s">
        <v>48</v>
      </c>
      <c r="B252" t="s">
        <v>211</v>
      </c>
      <c r="C252">
        <v>1</v>
      </c>
      <c r="D252">
        <f>betterSearch(A252,nodes!A:A,nodes!B:B)</f>
        <v>46</v>
      </c>
      <c r="E252">
        <f>betterSearch(B252,nodes!A:A,nodes!B:B)</f>
        <v>209</v>
      </c>
      <c r="F252" t="s">
        <v>279</v>
      </c>
      <c r="G252" t="s">
        <v>280</v>
      </c>
      <c r="H252" t="s">
        <v>281</v>
      </c>
      <c r="I252" t="s">
        <v>276</v>
      </c>
      <c r="J252" t="str">
        <f t="shared" si="3"/>
        <v>{"source":46,"target":209,"value":1},</v>
      </c>
    </row>
    <row r="253" spans="1:10" x14ac:dyDescent="0.25">
      <c r="A253" t="s">
        <v>27</v>
      </c>
      <c r="B253" t="s">
        <v>211</v>
      </c>
      <c r="C253">
        <v>1</v>
      </c>
      <c r="D253">
        <f>betterSearch(A253,nodes!A:A,nodes!B:B)</f>
        <v>25</v>
      </c>
      <c r="E253">
        <f>betterSearch(B253,nodes!A:A,nodes!B:B)</f>
        <v>209</v>
      </c>
      <c r="F253" t="s">
        <v>279</v>
      </c>
      <c r="G253" t="s">
        <v>280</v>
      </c>
      <c r="H253" t="s">
        <v>281</v>
      </c>
      <c r="I253" t="s">
        <v>276</v>
      </c>
      <c r="J253" t="str">
        <f t="shared" si="3"/>
        <v>{"source":25,"target":209,"value":1},</v>
      </c>
    </row>
    <row r="254" spans="1:10" x14ac:dyDescent="0.25">
      <c r="A254" t="s">
        <v>49</v>
      </c>
      <c r="B254" t="s">
        <v>211</v>
      </c>
      <c r="C254">
        <v>1</v>
      </c>
      <c r="D254">
        <f>betterSearch(A254,nodes!A:A,nodes!B:B)</f>
        <v>47</v>
      </c>
      <c r="E254">
        <f>betterSearch(B254,nodes!A:A,nodes!B:B)</f>
        <v>209</v>
      </c>
      <c r="F254" t="s">
        <v>279</v>
      </c>
      <c r="G254" t="s">
        <v>280</v>
      </c>
      <c r="H254" t="s">
        <v>281</v>
      </c>
      <c r="I254" t="s">
        <v>276</v>
      </c>
      <c r="J254" t="str">
        <f t="shared" si="3"/>
        <v>{"source":47,"target":209,"value":1},</v>
      </c>
    </row>
    <row r="255" spans="1:10" x14ac:dyDescent="0.25">
      <c r="A255" t="s">
        <v>50</v>
      </c>
      <c r="B255" t="s">
        <v>212</v>
      </c>
      <c r="C255">
        <v>1</v>
      </c>
      <c r="D255">
        <f>betterSearch(A255,nodes!A:A,nodes!B:B)</f>
        <v>48</v>
      </c>
      <c r="E255">
        <f>betterSearch(B255,nodes!A:A,nodes!B:B)</f>
        <v>210</v>
      </c>
      <c r="F255" t="s">
        <v>279</v>
      </c>
      <c r="G255" t="s">
        <v>280</v>
      </c>
      <c r="H255" t="s">
        <v>281</v>
      </c>
      <c r="I255" t="s">
        <v>276</v>
      </c>
      <c r="J255" t="str">
        <f t="shared" si="3"/>
        <v>{"source":48,"target":210,"value":1},</v>
      </c>
    </row>
    <row r="256" spans="1:10" x14ac:dyDescent="0.25">
      <c r="A256" t="s">
        <v>51</v>
      </c>
      <c r="B256" t="s">
        <v>212</v>
      </c>
      <c r="C256">
        <v>1</v>
      </c>
      <c r="D256">
        <f>betterSearch(A256,nodes!A:A,nodes!B:B)</f>
        <v>49</v>
      </c>
      <c r="E256">
        <f>betterSearch(B256,nodes!A:A,nodes!B:B)</f>
        <v>210</v>
      </c>
      <c r="F256" t="s">
        <v>279</v>
      </c>
      <c r="G256" t="s">
        <v>280</v>
      </c>
      <c r="H256" t="s">
        <v>281</v>
      </c>
      <c r="I256" t="s">
        <v>276</v>
      </c>
      <c r="J256" t="str">
        <f t="shared" si="3"/>
        <v>{"source":49,"target":210,"value":1},</v>
      </c>
    </row>
    <row r="257" spans="1:10" x14ac:dyDescent="0.25">
      <c r="A257" t="s">
        <v>13</v>
      </c>
      <c r="B257" t="s">
        <v>212</v>
      </c>
      <c r="C257">
        <v>1</v>
      </c>
      <c r="D257">
        <f>betterSearch(A257,nodes!A:A,nodes!B:B)</f>
        <v>11</v>
      </c>
      <c r="E257">
        <f>betterSearch(B257,nodes!A:A,nodes!B:B)</f>
        <v>210</v>
      </c>
      <c r="F257" t="s">
        <v>279</v>
      </c>
      <c r="G257" t="s">
        <v>280</v>
      </c>
      <c r="H257" t="s">
        <v>281</v>
      </c>
      <c r="I257" t="s">
        <v>276</v>
      </c>
      <c r="J257" t="str">
        <f t="shared" si="3"/>
        <v>{"source":11,"target":210,"value":1},</v>
      </c>
    </row>
    <row r="258" spans="1:10" x14ac:dyDescent="0.25">
      <c r="A258" t="s">
        <v>52</v>
      </c>
      <c r="B258" t="s">
        <v>212</v>
      </c>
      <c r="C258">
        <v>1</v>
      </c>
      <c r="D258">
        <f>betterSearch(A258,nodes!A:A,nodes!B:B)</f>
        <v>50</v>
      </c>
      <c r="E258">
        <f>betterSearch(B258,nodes!A:A,nodes!B:B)</f>
        <v>210</v>
      </c>
      <c r="F258" t="s">
        <v>279</v>
      </c>
      <c r="G258" t="s">
        <v>280</v>
      </c>
      <c r="H258" t="s">
        <v>281</v>
      </c>
      <c r="I258" t="s">
        <v>276</v>
      </c>
      <c r="J258" t="str">
        <f t="shared" si="3"/>
        <v>{"source":50,"target":210,"value":1},</v>
      </c>
    </row>
    <row r="259" spans="1:10" x14ac:dyDescent="0.25">
      <c r="A259" t="s">
        <v>53</v>
      </c>
      <c r="B259" t="s">
        <v>212</v>
      </c>
      <c r="C259">
        <v>1</v>
      </c>
      <c r="D259">
        <f>betterSearch(A259,nodes!A:A,nodes!B:B)</f>
        <v>51</v>
      </c>
      <c r="E259">
        <f>betterSearch(B259,nodes!A:A,nodes!B:B)</f>
        <v>210</v>
      </c>
      <c r="F259" t="s">
        <v>279</v>
      </c>
      <c r="G259" t="s">
        <v>280</v>
      </c>
      <c r="H259" t="s">
        <v>281</v>
      </c>
      <c r="I259" t="s">
        <v>276</v>
      </c>
      <c r="J259" t="str">
        <f t="shared" ref="J259:J322" si="4">CONCATENATE(F259,D259,G259,E259,H259,C259,I259)</f>
        <v>{"source":51,"target":210,"value":1},</v>
      </c>
    </row>
    <row r="260" spans="1:10" x14ac:dyDescent="0.25">
      <c r="A260" t="s">
        <v>54</v>
      </c>
      <c r="B260" t="s">
        <v>212</v>
      </c>
      <c r="C260">
        <v>1</v>
      </c>
      <c r="D260">
        <f>betterSearch(A260,nodes!A:A,nodes!B:B)</f>
        <v>52</v>
      </c>
      <c r="E260">
        <f>betterSearch(B260,nodes!A:A,nodes!B:B)</f>
        <v>210</v>
      </c>
      <c r="F260" t="s">
        <v>279</v>
      </c>
      <c r="G260" t="s">
        <v>280</v>
      </c>
      <c r="H260" t="s">
        <v>281</v>
      </c>
      <c r="I260" t="s">
        <v>276</v>
      </c>
      <c r="J260" t="str">
        <f t="shared" si="4"/>
        <v>{"source":52,"target":210,"value":1},</v>
      </c>
    </row>
    <row r="261" spans="1:10" x14ac:dyDescent="0.25">
      <c r="A261" t="s">
        <v>55</v>
      </c>
      <c r="B261" t="s">
        <v>212</v>
      </c>
      <c r="C261">
        <v>1</v>
      </c>
      <c r="D261">
        <f>betterSearch(A261,nodes!A:A,nodes!B:B)</f>
        <v>53</v>
      </c>
      <c r="E261">
        <f>betterSearch(B261,nodes!A:A,nodes!B:B)</f>
        <v>210</v>
      </c>
      <c r="F261" t="s">
        <v>279</v>
      </c>
      <c r="G261" t="s">
        <v>280</v>
      </c>
      <c r="H261" t="s">
        <v>281</v>
      </c>
      <c r="I261" t="s">
        <v>276</v>
      </c>
      <c r="J261" t="str">
        <f t="shared" si="4"/>
        <v>{"source":53,"target":210,"value":1},</v>
      </c>
    </row>
    <row r="262" spans="1:10" x14ac:dyDescent="0.25">
      <c r="A262" t="s">
        <v>56</v>
      </c>
      <c r="B262" t="s">
        <v>214</v>
      </c>
      <c r="C262">
        <v>1</v>
      </c>
      <c r="D262">
        <f>betterSearch(A262,nodes!A:A,nodes!B:B)</f>
        <v>54</v>
      </c>
      <c r="E262">
        <f>betterSearch(B262,nodes!A:A,nodes!B:B)</f>
        <v>212</v>
      </c>
      <c r="F262" t="s">
        <v>279</v>
      </c>
      <c r="G262" t="s">
        <v>280</v>
      </c>
      <c r="H262" t="s">
        <v>281</v>
      </c>
      <c r="I262" t="s">
        <v>276</v>
      </c>
      <c r="J262" t="str">
        <f t="shared" si="4"/>
        <v>{"source":54,"target":212,"value":1},</v>
      </c>
    </row>
    <row r="263" spans="1:10" x14ac:dyDescent="0.25">
      <c r="A263" t="s">
        <v>57</v>
      </c>
      <c r="B263" t="s">
        <v>214</v>
      </c>
      <c r="C263">
        <v>1</v>
      </c>
      <c r="D263">
        <f>betterSearch(A263,nodes!A:A,nodes!B:B)</f>
        <v>55</v>
      </c>
      <c r="E263">
        <f>betterSearch(B263,nodes!A:A,nodes!B:B)</f>
        <v>212</v>
      </c>
      <c r="F263" t="s">
        <v>279</v>
      </c>
      <c r="G263" t="s">
        <v>280</v>
      </c>
      <c r="H263" t="s">
        <v>281</v>
      </c>
      <c r="I263" t="s">
        <v>276</v>
      </c>
      <c r="J263" t="str">
        <f t="shared" si="4"/>
        <v>{"source":55,"target":212,"value":1},</v>
      </c>
    </row>
    <row r="264" spans="1:10" x14ac:dyDescent="0.25">
      <c r="A264" t="s">
        <v>58</v>
      </c>
      <c r="B264" t="s">
        <v>214</v>
      </c>
      <c r="C264">
        <v>1</v>
      </c>
      <c r="D264">
        <f>betterSearch(A264,nodes!A:A,nodes!B:B)</f>
        <v>56</v>
      </c>
      <c r="E264">
        <f>betterSearch(B264,nodes!A:A,nodes!B:B)</f>
        <v>212</v>
      </c>
      <c r="F264" t="s">
        <v>279</v>
      </c>
      <c r="G264" t="s">
        <v>280</v>
      </c>
      <c r="H264" t="s">
        <v>281</v>
      </c>
      <c r="I264" t="s">
        <v>276</v>
      </c>
      <c r="J264" t="str">
        <f t="shared" si="4"/>
        <v>{"source":56,"target":212,"value":1},</v>
      </c>
    </row>
    <row r="265" spans="1:10" x14ac:dyDescent="0.25">
      <c r="A265" t="s">
        <v>59</v>
      </c>
      <c r="B265" t="s">
        <v>214</v>
      </c>
      <c r="C265">
        <v>1</v>
      </c>
      <c r="D265">
        <f>betterSearch(A265,nodes!A:A,nodes!B:B)</f>
        <v>57</v>
      </c>
      <c r="E265">
        <f>betterSearch(B265,nodes!A:A,nodes!B:B)</f>
        <v>212</v>
      </c>
      <c r="F265" t="s">
        <v>279</v>
      </c>
      <c r="G265" t="s">
        <v>280</v>
      </c>
      <c r="H265" t="s">
        <v>281</v>
      </c>
      <c r="I265" t="s">
        <v>276</v>
      </c>
      <c r="J265" t="str">
        <f t="shared" si="4"/>
        <v>{"source":57,"target":212,"value":1},</v>
      </c>
    </row>
    <row r="266" spans="1:10" x14ac:dyDescent="0.25">
      <c r="A266" t="s">
        <v>60</v>
      </c>
      <c r="B266" t="s">
        <v>214</v>
      </c>
      <c r="C266">
        <v>1</v>
      </c>
      <c r="D266">
        <f>betterSearch(A266,nodes!A:A,nodes!B:B)</f>
        <v>58</v>
      </c>
      <c r="E266">
        <f>betterSearch(B266,nodes!A:A,nodes!B:B)</f>
        <v>212</v>
      </c>
      <c r="F266" t="s">
        <v>279</v>
      </c>
      <c r="G266" t="s">
        <v>280</v>
      </c>
      <c r="H266" t="s">
        <v>281</v>
      </c>
      <c r="I266" t="s">
        <v>276</v>
      </c>
      <c r="J266" t="str">
        <f t="shared" si="4"/>
        <v>{"source":58,"target":212,"value":1},</v>
      </c>
    </row>
    <row r="267" spans="1:10" x14ac:dyDescent="0.25">
      <c r="A267" t="s">
        <v>42</v>
      </c>
      <c r="B267" t="s">
        <v>214</v>
      </c>
      <c r="C267">
        <v>1</v>
      </c>
      <c r="D267">
        <f>betterSearch(A267,nodes!A:A,nodes!B:B)</f>
        <v>40</v>
      </c>
      <c r="E267">
        <f>betterSearch(B267,nodes!A:A,nodes!B:B)</f>
        <v>212</v>
      </c>
      <c r="F267" t="s">
        <v>279</v>
      </c>
      <c r="G267" t="s">
        <v>280</v>
      </c>
      <c r="H267" t="s">
        <v>281</v>
      </c>
      <c r="I267" t="s">
        <v>276</v>
      </c>
      <c r="J267" t="str">
        <f t="shared" si="4"/>
        <v>{"source":40,"target":212,"value":1},</v>
      </c>
    </row>
    <row r="268" spans="1:10" x14ac:dyDescent="0.25">
      <c r="A268" t="s">
        <v>61</v>
      </c>
      <c r="B268" t="s">
        <v>214</v>
      </c>
      <c r="C268">
        <v>1</v>
      </c>
      <c r="D268">
        <f>betterSearch(A268,nodes!A:A,nodes!B:B)</f>
        <v>59</v>
      </c>
      <c r="E268">
        <f>betterSearch(B268,nodes!A:A,nodes!B:B)</f>
        <v>212</v>
      </c>
      <c r="F268" t="s">
        <v>279</v>
      </c>
      <c r="G268" t="s">
        <v>280</v>
      </c>
      <c r="H268" t="s">
        <v>281</v>
      </c>
      <c r="I268" t="s">
        <v>276</v>
      </c>
      <c r="J268" t="str">
        <f t="shared" si="4"/>
        <v>{"source":59,"target":212,"value":1},</v>
      </c>
    </row>
    <row r="269" spans="1:10" x14ac:dyDescent="0.25">
      <c r="A269" t="s">
        <v>62</v>
      </c>
      <c r="B269" t="s">
        <v>214</v>
      </c>
      <c r="C269">
        <v>1</v>
      </c>
      <c r="D269">
        <f>betterSearch(A269,nodes!A:A,nodes!B:B)</f>
        <v>60</v>
      </c>
      <c r="E269">
        <f>betterSearch(B269,nodes!A:A,nodes!B:B)</f>
        <v>212</v>
      </c>
      <c r="F269" t="s">
        <v>279</v>
      </c>
      <c r="G269" t="s">
        <v>280</v>
      </c>
      <c r="H269" t="s">
        <v>281</v>
      </c>
      <c r="I269" t="s">
        <v>276</v>
      </c>
      <c r="J269" t="str">
        <f t="shared" si="4"/>
        <v>{"source":60,"target":212,"value":1},</v>
      </c>
    </row>
    <row r="270" spans="1:10" x14ac:dyDescent="0.25">
      <c r="A270" t="s">
        <v>26</v>
      </c>
      <c r="B270" t="s">
        <v>214</v>
      </c>
      <c r="C270">
        <v>1</v>
      </c>
      <c r="D270">
        <f>betterSearch(A270,nodes!A:A,nodes!B:B)</f>
        <v>24</v>
      </c>
      <c r="E270">
        <f>betterSearch(B270,nodes!A:A,nodes!B:B)</f>
        <v>212</v>
      </c>
      <c r="F270" t="s">
        <v>279</v>
      </c>
      <c r="G270" t="s">
        <v>280</v>
      </c>
      <c r="H270" t="s">
        <v>281</v>
      </c>
      <c r="I270" t="s">
        <v>276</v>
      </c>
      <c r="J270" t="str">
        <f t="shared" si="4"/>
        <v>{"source":24,"target":212,"value":1},</v>
      </c>
    </row>
    <row r="271" spans="1:10" x14ac:dyDescent="0.25">
      <c r="A271" t="s">
        <v>29</v>
      </c>
      <c r="B271" t="s">
        <v>214</v>
      </c>
      <c r="C271">
        <v>1</v>
      </c>
      <c r="D271">
        <f>betterSearch(A271,nodes!A:A,nodes!B:B)</f>
        <v>27</v>
      </c>
      <c r="E271">
        <f>betterSearch(B271,nodes!A:A,nodes!B:B)</f>
        <v>212</v>
      </c>
      <c r="F271" t="s">
        <v>279</v>
      </c>
      <c r="G271" t="s">
        <v>280</v>
      </c>
      <c r="H271" t="s">
        <v>281</v>
      </c>
      <c r="I271" t="s">
        <v>276</v>
      </c>
      <c r="J271" t="str">
        <f t="shared" si="4"/>
        <v>{"source":27,"target":212,"value":1},</v>
      </c>
    </row>
    <row r="272" spans="1:10" x14ac:dyDescent="0.25">
      <c r="A272" t="s">
        <v>63</v>
      </c>
      <c r="B272" t="s">
        <v>215</v>
      </c>
      <c r="C272">
        <v>1</v>
      </c>
      <c r="D272">
        <f>betterSearch(A272,nodes!A:A,nodes!B:B)</f>
        <v>61</v>
      </c>
      <c r="E272">
        <f>betterSearch(B272,nodes!A:A,nodes!B:B)</f>
        <v>213</v>
      </c>
      <c r="F272" t="s">
        <v>279</v>
      </c>
      <c r="G272" t="s">
        <v>280</v>
      </c>
      <c r="H272" t="s">
        <v>281</v>
      </c>
      <c r="I272" t="s">
        <v>276</v>
      </c>
      <c r="J272" t="str">
        <f t="shared" si="4"/>
        <v>{"source":61,"target":213,"value":1},</v>
      </c>
    </row>
    <row r="273" spans="1:10" x14ac:dyDescent="0.25">
      <c r="A273" t="s">
        <v>64</v>
      </c>
      <c r="B273" t="s">
        <v>215</v>
      </c>
      <c r="C273">
        <v>1</v>
      </c>
      <c r="D273">
        <f>betterSearch(A273,nodes!A:A,nodes!B:B)</f>
        <v>62</v>
      </c>
      <c r="E273">
        <f>betterSearch(B273,nodes!A:A,nodes!B:B)</f>
        <v>213</v>
      </c>
      <c r="F273" t="s">
        <v>279</v>
      </c>
      <c r="G273" t="s">
        <v>280</v>
      </c>
      <c r="H273" t="s">
        <v>281</v>
      </c>
      <c r="I273" t="s">
        <v>276</v>
      </c>
      <c r="J273" t="str">
        <f t="shared" si="4"/>
        <v>{"source":62,"target":213,"value":1},</v>
      </c>
    </row>
    <row r="274" spans="1:10" x14ac:dyDescent="0.25">
      <c r="A274" t="s">
        <v>65</v>
      </c>
      <c r="B274" t="s">
        <v>215</v>
      </c>
      <c r="C274">
        <v>1</v>
      </c>
      <c r="D274">
        <f>betterSearch(A274,nodes!A:A,nodes!B:B)</f>
        <v>63</v>
      </c>
      <c r="E274">
        <f>betterSearch(B274,nodes!A:A,nodes!B:B)</f>
        <v>213</v>
      </c>
      <c r="F274" t="s">
        <v>279</v>
      </c>
      <c r="G274" t="s">
        <v>280</v>
      </c>
      <c r="H274" t="s">
        <v>281</v>
      </c>
      <c r="I274" t="s">
        <v>276</v>
      </c>
      <c r="J274" t="str">
        <f t="shared" si="4"/>
        <v>{"source":63,"target":213,"value":1},</v>
      </c>
    </row>
    <row r="275" spans="1:10" x14ac:dyDescent="0.25">
      <c r="A275" t="s">
        <v>66</v>
      </c>
      <c r="B275" t="s">
        <v>215</v>
      </c>
      <c r="C275">
        <v>1</v>
      </c>
      <c r="D275">
        <f>betterSearch(A275,nodes!A:A,nodes!B:B)</f>
        <v>64</v>
      </c>
      <c r="E275">
        <f>betterSearch(B275,nodes!A:A,nodes!B:B)</f>
        <v>213</v>
      </c>
      <c r="F275" t="s">
        <v>279</v>
      </c>
      <c r="G275" t="s">
        <v>280</v>
      </c>
      <c r="H275" t="s">
        <v>281</v>
      </c>
      <c r="I275" t="s">
        <v>276</v>
      </c>
      <c r="J275" t="str">
        <f t="shared" si="4"/>
        <v>{"source":64,"target":213,"value":1},</v>
      </c>
    </row>
    <row r="276" spans="1:10" x14ac:dyDescent="0.25">
      <c r="A276" t="s">
        <v>67</v>
      </c>
      <c r="B276" t="s">
        <v>215</v>
      </c>
      <c r="C276">
        <v>1</v>
      </c>
      <c r="D276">
        <f>betterSearch(A276,nodes!A:A,nodes!B:B)</f>
        <v>65</v>
      </c>
      <c r="E276">
        <f>betterSearch(B276,nodes!A:A,nodes!B:B)</f>
        <v>213</v>
      </c>
      <c r="F276" t="s">
        <v>279</v>
      </c>
      <c r="G276" t="s">
        <v>280</v>
      </c>
      <c r="H276" t="s">
        <v>281</v>
      </c>
      <c r="I276" t="s">
        <v>276</v>
      </c>
      <c r="J276" t="str">
        <f t="shared" si="4"/>
        <v>{"source":65,"target":213,"value":1},</v>
      </c>
    </row>
    <row r="277" spans="1:10" x14ac:dyDescent="0.25">
      <c r="A277" t="s">
        <v>68</v>
      </c>
      <c r="B277" t="s">
        <v>215</v>
      </c>
      <c r="C277">
        <v>1</v>
      </c>
      <c r="D277">
        <f>betterSearch(A277,nodes!A:A,nodes!B:B)</f>
        <v>66</v>
      </c>
      <c r="E277">
        <f>betterSearch(B277,nodes!A:A,nodes!B:B)</f>
        <v>213</v>
      </c>
      <c r="F277" t="s">
        <v>279</v>
      </c>
      <c r="G277" t="s">
        <v>280</v>
      </c>
      <c r="H277" t="s">
        <v>281</v>
      </c>
      <c r="I277" t="s">
        <v>276</v>
      </c>
      <c r="J277" t="str">
        <f t="shared" si="4"/>
        <v>{"source":66,"target":213,"value":1},</v>
      </c>
    </row>
    <row r="278" spans="1:10" x14ac:dyDescent="0.25">
      <c r="A278" t="s">
        <v>69</v>
      </c>
      <c r="B278" t="s">
        <v>215</v>
      </c>
      <c r="C278">
        <v>1</v>
      </c>
      <c r="D278">
        <f>betterSearch(A278,nodes!A:A,nodes!B:B)</f>
        <v>67</v>
      </c>
      <c r="E278">
        <f>betterSearch(B278,nodes!A:A,nodes!B:B)</f>
        <v>213</v>
      </c>
      <c r="F278" t="s">
        <v>279</v>
      </c>
      <c r="G278" t="s">
        <v>280</v>
      </c>
      <c r="H278" t="s">
        <v>281</v>
      </c>
      <c r="I278" t="s">
        <v>276</v>
      </c>
      <c r="J278" t="str">
        <f t="shared" si="4"/>
        <v>{"source":67,"target":213,"value":1},</v>
      </c>
    </row>
    <row r="279" spans="1:10" x14ac:dyDescent="0.25">
      <c r="A279" t="s">
        <v>70</v>
      </c>
      <c r="B279" t="s">
        <v>215</v>
      </c>
      <c r="C279">
        <v>1</v>
      </c>
      <c r="D279">
        <f>betterSearch(A279,nodes!A:A,nodes!B:B)</f>
        <v>68</v>
      </c>
      <c r="E279">
        <f>betterSearch(B279,nodes!A:A,nodes!B:B)</f>
        <v>213</v>
      </c>
      <c r="F279" t="s">
        <v>279</v>
      </c>
      <c r="G279" t="s">
        <v>280</v>
      </c>
      <c r="H279" t="s">
        <v>281</v>
      </c>
      <c r="I279" t="s">
        <v>276</v>
      </c>
      <c r="J279" t="str">
        <f t="shared" si="4"/>
        <v>{"source":68,"target":213,"value":1},</v>
      </c>
    </row>
    <row r="280" spans="1:10" x14ac:dyDescent="0.25">
      <c r="A280" t="s">
        <v>65</v>
      </c>
      <c r="B280" t="s">
        <v>222</v>
      </c>
      <c r="C280">
        <v>1</v>
      </c>
      <c r="D280">
        <f>betterSearch(A280,nodes!A:A,nodes!B:B)</f>
        <v>63</v>
      </c>
      <c r="E280">
        <f>betterSearch(B280,nodes!A:A,nodes!B:B)</f>
        <v>220</v>
      </c>
      <c r="F280" t="s">
        <v>279</v>
      </c>
      <c r="G280" t="s">
        <v>280</v>
      </c>
      <c r="H280" t="s">
        <v>281</v>
      </c>
      <c r="I280" t="s">
        <v>276</v>
      </c>
      <c r="J280" t="str">
        <f t="shared" si="4"/>
        <v>{"source":63,"target":220,"value":1},</v>
      </c>
    </row>
    <row r="281" spans="1:10" x14ac:dyDescent="0.25">
      <c r="A281" t="s">
        <v>20</v>
      </c>
      <c r="B281" t="s">
        <v>223</v>
      </c>
      <c r="C281">
        <v>1</v>
      </c>
      <c r="D281">
        <f>betterSearch(A281,nodes!A:A,nodes!B:B)</f>
        <v>18</v>
      </c>
      <c r="E281">
        <f>betterSearch(B281,nodes!A:A,nodes!B:B)</f>
        <v>221</v>
      </c>
      <c r="F281" t="s">
        <v>279</v>
      </c>
      <c r="G281" t="s">
        <v>280</v>
      </c>
      <c r="H281" t="s">
        <v>281</v>
      </c>
      <c r="I281" t="s">
        <v>276</v>
      </c>
      <c r="J281" t="str">
        <f t="shared" si="4"/>
        <v>{"source":18,"target":221,"value":1},</v>
      </c>
    </row>
    <row r="282" spans="1:10" x14ac:dyDescent="0.25">
      <c r="A282" t="s">
        <v>71</v>
      </c>
      <c r="B282" t="s">
        <v>224</v>
      </c>
      <c r="C282">
        <v>1</v>
      </c>
      <c r="D282">
        <f>betterSearch(A282,nodes!A:A,nodes!B:B)</f>
        <v>69</v>
      </c>
      <c r="E282">
        <f>betterSearch(B282,nodes!A:A,nodes!B:B)</f>
        <v>222</v>
      </c>
      <c r="F282" t="s">
        <v>279</v>
      </c>
      <c r="G282" t="s">
        <v>280</v>
      </c>
      <c r="H282" t="s">
        <v>281</v>
      </c>
      <c r="I282" t="s">
        <v>276</v>
      </c>
      <c r="J282" t="str">
        <f t="shared" si="4"/>
        <v>{"source":69,"target":222,"value":1},</v>
      </c>
    </row>
    <row r="283" spans="1:10" x14ac:dyDescent="0.25">
      <c r="A283" t="s">
        <v>72</v>
      </c>
      <c r="B283" t="s">
        <v>224</v>
      </c>
      <c r="C283">
        <v>1</v>
      </c>
      <c r="D283">
        <f>betterSearch(A283,nodes!A:A,nodes!B:B)</f>
        <v>70</v>
      </c>
      <c r="E283">
        <f>betterSearch(B283,nodes!A:A,nodes!B:B)</f>
        <v>222</v>
      </c>
      <c r="F283" t="s">
        <v>279</v>
      </c>
      <c r="G283" t="s">
        <v>280</v>
      </c>
      <c r="H283" t="s">
        <v>281</v>
      </c>
      <c r="I283" t="s">
        <v>276</v>
      </c>
      <c r="J283" t="str">
        <f t="shared" si="4"/>
        <v>{"source":70,"target":222,"value":1},</v>
      </c>
    </row>
    <row r="284" spans="1:10" x14ac:dyDescent="0.25">
      <c r="A284" t="s">
        <v>34</v>
      </c>
      <c r="B284" t="s">
        <v>224</v>
      </c>
      <c r="C284">
        <v>1</v>
      </c>
      <c r="D284">
        <f>betterSearch(A284,nodes!A:A,nodes!B:B)</f>
        <v>32</v>
      </c>
      <c r="E284">
        <f>betterSearch(B284,nodes!A:A,nodes!B:B)</f>
        <v>222</v>
      </c>
      <c r="F284" t="s">
        <v>279</v>
      </c>
      <c r="G284" t="s">
        <v>280</v>
      </c>
      <c r="H284" t="s">
        <v>281</v>
      </c>
      <c r="I284" t="s">
        <v>276</v>
      </c>
      <c r="J284" t="str">
        <f t="shared" si="4"/>
        <v>{"source":32,"target":222,"value":1},</v>
      </c>
    </row>
    <row r="285" spans="1:10" x14ac:dyDescent="0.25">
      <c r="A285" t="s">
        <v>72</v>
      </c>
      <c r="B285" t="s">
        <v>225</v>
      </c>
      <c r="C285">
        <v>1</v>
      </c>
      <c r="D285">
        <f>betterSearch(A285,nodes!A:A,nodes!B:B)</f>
        <v>70</v>
      </c>
      <c r="E285">
        <f>betterSearch(B285,nodes!A:A,nodes!B:B)</f>
        <v>223</v>
      </c>
      <c r="F285" t="s">
        <v>279</v>
      </c>
      <c r="G285" t="s">
        <v>280</v>
      </c>
      <c r="H285" t="s">
        <v>281</v>
      </c>
      <c r="I285" t="s">
        <v>276</v>
      </c>
      <c r="J285" t="str">
        <f t="shared" si="4"/>
        <v>{"source":70,"target":223,"value":1},</v>
      </c>
    </row>
    <row r="286" spans="1:10" x14ac:dyDescent="0.25">
      <c r="A286" t="s">
        <v>73</v>
      </c>
      <c r="B286" t="s">
        <v>225</v>
      </c>
      <c r="C286">
        <v>1</v>
      </c>
      <c r="D286">
        <f>betterSearch(A286,nodes!A:A,nodes!B:B)</f>
        <v>71</v>
      </c>
      <c r="E286">
        <f>betterSearch(B286,nodes!A:A,nodes!B:B)</f>
        <v>223</v>
      </c>
      <c r="F286" t="s">
        <v>279</v>
      </c>
      <c r="G286" t="s">
        <v>280</v>
      </c>
      <c r="H286" t="s">
        <v>281</v>
      </c>
      <c r="I286" t="s">
        <v>276</v>
      </c>
      <c r="J286" t="str">
        <f t="shared" si="4"/>
        <v>{"source":71,"target":223,"value":1},</v>
      </c>
    </row>
    <row r="287" spans="1:10" x14ac:dyDescent="0.25">
      <c r="A287" t="s">
        <v>19</v>
      </c>
      <c r="B287" t="s">
        <v>225</v>
      </c>
      <c r="C287">
        <v>1</v>
      </c>
      <c r="D287">
        <f>betterSearch(A287,nodes!A:A,nodes!B:B)</f>
        <v>17</v>
      </c>
      <c r="E287">
        <f>betterSearch(B287,nodes!A:A,nodes!B:B)</f>
        <v>223</v>
      </c>
      <c r="F287" t="s">
        <v>279</v>
      </c>
      <c r="G287" t="s">
        <v>280</v>
      </c>
      <c r="H287" t="s">
        <v>281</v>
      </c>
      <c r="I287" t="s">
        <v>276</v>
      </c>
      <c r="J287" t="str">
        <f t="shared" si="4"/>
        <v>{"source":17,"target":223,"value":1},</v>
      </c>
    </row>
    <row r="288" spans="1:10" x14ac:dyDescent="0.25">
      <c r="A288" t="s">
        <v>74</v>
      </c>
      <c r="B288" t="s">
        <v>225</v>
      </c>
      <c r="C288">
        <v>1</v>
      </c>
      <c r="D288">
        <f>betterSearch(A288,nodes!A:A,nodes!B:B)</f>
        <v>72</v>
      </c>
      <c r="E288">
        <f>betterSearch(B288,nodes!A:A,nodes!B:B)</f>
        <v>223</v>
      </c>
      <c r="F288" t="s">
        <v>279</v>
      </c>
      <c r="G288" t="s">
        <v>280</v>
      </c>
      <c r="H288" t="s">
        <v>281</v>
      </c>
      <c r="I288" t="s">
        <v>276</v>
      </c>
      <c r="J288" t="str">
        <f t="shared" si="4"/>
        <v>{"source":72,"target":223,"value":1},</v>
      </c>
    </row>
    <row r="289" spans="1:10" x14ac:dyDescent="0.25">
      <c r="A289" t="s">
        <v>18</v>
      </c>
      <c r="B289" t="s">
        <v>226</v>
      </c>
      <c r="C289">
        <v>1</v>
      </c>
      <c r="D289">
        <f>betterSearch(A289,nodes!A:A,nodes!B:B)</f>
        <v>16</v>
      </c>
      <c r="E289">
        <f>betterSearch(B289,nodes!A:A,nodes!B:B)</f>
        <v>224</v>
      </c>
      <c r="F289" t="s">
        <v>279</v>
      </c>
      <c r="G289" t="s">
        <v>280</v>
      </c>
      <c r="H289" t="s">
        <v>281</v>
      </c>
      <c r="I289" t="s">
        <v>276</v>
      </c>
      <c r="J289" t="str">
        <f t="shared" si="4"/>
        <v>{"source":16,"target":224,"value":1},</v>
      </c>
    </row>
    <row r="290" spans="1:10" x14ac:dyDescent="0.25">
      <c r="A290" t="s">
        <v>34</v>
      </c>
      <c r="B290" t="s">
        <v>227</v>
      </c>
      <c r="C290">
        <v>1</v>
      </c>
      <c r="D290">
        <f>betterSearch(A290,nodes!A:A,nodes!B:B)</f>
        <v>32</v>
      </c>
      <c r="E290">
        <f>betterSearch(B290,nodes!A:A,nodes!B:B)</f>
        <v>225</v>
      </c>
      <c r="F290" t="s">
        <v>279</v>
      </c>
      <c r="G290" t="s">
        <v>280</v>
      </c>
      <c r="H290" t="s">
        <v>281</v>
      </c>
      <c r="I290" t="s">
        <v>276</v>
      </c>
      <c r="J290" t="str">
        <f t="shared" si="4"/>
        <v>{"source":32,"target":225,"value":1},</v>
      </c>
    </row>
    <row r="291" spans="1:10" x14ac:dyDescent="0.25">
      <c r="A291" t="s">
        <v>73</v>
      </c>
      <c r="B291" t="s">
        <v>227</v>
      </c>
      <c r="C291">
        <v>1</v>
      </c>
      <c r="D291">
        <f>betterSearch(A291,nodes!A:A,nodes!B:B)</f>
        <v>71</v>
      </c>
      <c r="E291">
        <f>betterSearch(B291,nodes!A:A,nodes!B:B)</f>
        <v>225</v>
      </c>
      <c r="F291" t="s">
        <v>279</v>
      </c>
      <c r="G291" t="s">
        <v>280</v>
      </c>
      <c r="H291" t="s">
        <v>281</v>
      </c>
      <c r="I291" t="s">
        <v>276</v>
      </c>
      <c r="J291" t="str">
        <f t="shared" si="4"/>
        <v>{"source":71,"target":225,"value":1},</v>
      </c>
    </row>
    <row r="292" spans="1:10" x14ac:dyDescent="0.25">
      <c r="A292" t="s">
        <v>72</v>
      </c>
      <c r="B292" t="s">
        <v>227</v>
      </c>
      <c r="C292">
        <v>1</v>
      </c>
      <c r="D292">
        <f>betterSearch(A292,nodes!A:A,nodes!B:B)</f>
        <v>70</v>
      </c>
      <c r="E292">
        <f>betterSearch(B292,nodes!A:A,nodes!B:B)</f>
        <v>225</v>
      </c>
      <c r="F292" t="s">
        <v>279</v>
      </c>
      <c r="G292" t="s">
        <v>280</v>
      </c>
      <c r="H292" t="s">
        <v>281</v>
      </c>
      <c r="I292" t="s">
        <v>276</v>
      </c>
      <c r="J292" t="str">
        <f t="shared" si="4"/>
        <v>{"source":70,"target":225,"value":1},</v>
      </c>
    </row>
    <row r="293" spans="1:10" x14ac:dyDescent="0.25">
      <c r="A293" t="s">
        <v>75</v>
      </c>
      <c r="B293" t="s">
        <v>227</v>
      </c>
      <c r="C293">
        <v>1</v>
      </c>
      <c r="D293">
        <f>betterSearch(A293,nodes!A:A,nodes!B:B)</f>
        <v>73</v>
      </c>
      <c r="E293">
        <f>betterSearch(B293,nodes!A:A,nodes!B:B)</f>
        <v>225</v>
      </c>
      <c r="F293" t="s">
        <v>279</v>
      </c>
      <c r="G293" t="s">
        <v>280</v>
      </c>
      <c r="H293" t="s">
        <v>281</v>
      </c>
      <c r="I293" t="s">
        <v>276</v>
      </c>
      <c r="J293" t="str">
        <f t="shared" si="4"/>
        <v>{"source":73,"target":225,"value":1},</v>
      </c>
    </row>
    <row r="294" spans="1:10" x14ac:dyDescent="0.25">
      <c r="A294" t="s">
        <v>76</v>
      </c>
      <c r="B294" t="s">
        <v>227</v>
      </c>
      <c r="C294">
        <v>1</v>
      </c>
      <c r="D294">
        <f>betterSearch(A294,nodes!A:A,nodes!B:B)</f>
        <v>74</v>
      </c>
      <c r="E294">
        <f>betterSearch(B294,nodes!A:A,nodes!B:B)</f>
        <v>225</v>
      </c>
      <c r="F294" t="s">
        <v>279</v>
      </c>
      <c r="G294" t="s">
        <v>280</v>
      </c>
      <c r="H294" t="s">
        <v>281</v>
      </c>
      <c r="I294" t="s">
        <v>276</v>
      </c>
      <c r="J294" t="str">
        <f t="shared" si="4"/>
        <v>{"source":74,"target":225,"value":1},</v>
      </c>
    </row>
    <row r="295" spans="1:10" x14ac:dyDescent="0.25">
      <c r="A295" t="s">
        <v>21</v>
      </c>
      <c r="B295" t="s">
        <v>227</v>
      </c>
      <c r="C295">
        <v>1</v>
      </c>
      <c r="D295">
        <f>betterSearch(A295,nodes!A:A,nodes!B:B)</f>
        <v>19</v>
      </c>
      <c r="E295">
        <f>betterSearch(B295,nodes!A:A,nodes!B:B)</f>
        <v>225</v>
      </c>
      <c r="F295" t="s">
        <v>279</v>
      </c>
      <c r="G295" t="s">
        <v>280</v>
      </c>
      <c r="H295" t="s">
        <v>281</v>
      </c>
      <c r="I295" t="s">
        <v>276</v>
      </c>
      <c r="J295" t="str">
        <f t="shared" si="4"/>
        <v>{"source":19,"target":225,"value":1},</v>
      </c>
    </row>
    <row r="296" spans="1:10" x14ac:dyDescent="0.25">
      <c r="A296" t="s">
        <v>20</v>
      </c>
      <c r="B296" t="s">
        <v>228</v>
      </c>
      <c r="C296">
        <v>1</v>
      </c>
      <c r="D296">
        <f>betterSearch(A296,nodes!A:A,nodes!B:B)</f>
        <v>18</v>
      </c>
      <c r="E296">
        <f>betterSearch(B296,nodes!A:A,nodes!B:B)</f>
        <v>226</v>
      </c>
      <c r="F296" t="s">
        <v>279</v>
      </c>
      <c r="G296" t="s">
        <v>280</v>
      </c>
      <c r="H296" t="s">
        <v>281</v>
      </c>
      <c r="I296" t="s">
        <v>276</v>
      </c>
      <c r="J296" t="str">
        <f t="shared" si="4"/>
        <v>{"source":18,"target":226,"value":1},</v>
      </c>
    </row>
    <row r="297" spans="1:10" x14ac:dyDescent="0.25">
      <c r="A297" t="s">
        <v>18</v>
      </c>
      <c r="B297" t="s">
        <v>228</v>
      </c>
      <c r="C297">
        <v>1</v>
      </c>
      <c r="D297">
        <f>betterSearch(A297,nodes!A:A,nodes!B:B)</f>
        <v>16</v>
      </c>
      <c r="E297">
        <f>betterSearch(B297,nodes!A:A,nodes!B:B)</f>
        <v>226</v>
      </c>
      <c r="F297" t="s">
        <v>279</v>
      </c>
      <c r="G297" t="s">
        <v>280</v>
      </c>
      <c r="H297" t="s">
        <v>281</v>
      </c>
      <c r="I297" t="s">
        <v>276</v>
      </c>
      <c r="J297" t="str">
        <f t="shared" si="4"/>
        <v>{"source":16,"target":226,"value":1},</v>
      </c>
    </row>
    <row r="298" spans="1:10" x14ac:dyDescent="0.25">
      <c r="A298" t="s">
        <v>73</v>
      </c>
      <c r="B298" t="s">
        <v>228</v>
      </c>
      <c r="C298">
        <v>1</v>
      </c>
      <c r="D298">
        <f>betterSearch(A298,nodes!A:A,nodes!B:B)</f>
        <v>71</v>
      </c>
      <c r="E298">
        <f>betterSearch(B298,nodes!A:A,nodes!B:B)</f>
        <v>226</v>
      </c>
      <c r="F298" t="s">
        <v>279</v>
      </c>
      <c r="G298" t="s">
        <v>280</v>
      </c>
      <c r="H298" t="s">
        <v>281</v>
      </c>
      <c r="I298" t="s">
        <v>276</v>
      </c>
      <c r="J298" t="str">
        <f t="shared" si="4"/>
        <v>{"source":71,"target":226,"value":1},</v>
      </c>
    </row>
    <row r="299" spans="1:10" x14ac:dyDescent="0.25">
      <c r="A299" t="s">
        <v>74</v>
      </c>
      <c r="B299" t="s">
        <v>229</v>
      </c>
      <c r="C299">
        <v>1</v>
      </c>
      <c r="D299">
        <f>betterSearch(A299,nodes!A:A,nodes!B:B)</f>
        <v>72</v>
      </c>
      <c r="E299">
        <f>betterSearch(B299,nodes!A:A,nodes!B:B)</f>
        <v>227</v>
      </c>
      <c r="F299" t="s">
        <v>279</v>
      </c>
      <c r="G299" t="s">
        <v>280</v>
      </c>
      <c r="H299" t="s">
        <v>281</v>
      </c>
      <c r="I299" t="s">
        <v>276</v>
      </c>
      <c r="J299" t="str">
        <f t="shared" si="4"/>
        <v>{"source":72,"target":227,"value":1},</v>
      </c>
    </row>
    <row r="300" spans="1:10" x14ac:dyDescent="0.25">
      <c r="A300" t="s">
        <v>73</v>
      </c>
      <c r="B300" t="s">
        <v>230</v>
      </c>
      <c r="C300">
        <v>1</v>
      </c>
      <c r="D300">
        <f>betterSearch(A300,nodes!A:A,nodes!B:B)</f>
        <v>71</v>
      </c>
      <c r="E300">
        <f>betterSearch(B300,nodes!A:A,nodes!B:B)</f>
        <v>228</v>
      </c>
      <c r="F300" t="s">
        <v>279</v>
      </c>
      <c r="G300" t="s">
        <v>280</v>
      </c>
      <c r="H300" t="s">
        <v>281</v>
      </c>
      <c r="I300" t="s">
        <v>276</v>
      </c>
      <c r="J300" t="str">
        <f t="shared" si="4"/>
        <v>{"source":71,"target":228,"value":1},</v>
      </c>
    </row>
    <row r="301" spans="1:10" x14ac:dyDescent="0.25">
      <c r="A301" t="s">
        <v>77</v>
      </c>
      <c r="B301" t="s">
        <v>231</v>
      </c>
      <c r="C301">
        <v>1</v>
      </c>
      <c r="D301">
        <f>betterSearch(A301,nodes!A:A,nodes!B:B)</f>
        <v>75</v>
      </c>
      <c r="E301">
        <f>betterSearch(B301,nodes!A:A,nodes!B:B)</f>
        <v>229</v>
      </c>
      <c r="F301" t="s">
        <v>279</v>
      </c>
      <c r="G301" t="s">
        <v>280</v>
      </c>
      <c r="H301" t="s">
        <v>281</v>
      </c>
      <c r="I301" t="s">
        <v>276</v>
      </c>
      <c r="J301" t="str">
        <f t="shared" si="4"/>
        <v>{"source":75,"target":229,"value":1},</v>
      </c>
    </row>
    <row r="302" spans="1:10" x14ac:dyDescent="0.25">
      <c r="A302" t="s">
        <v>22</v>
      </c>
      <c r="B302" t="s">
        <v>232</v>
      </c>
      <c r="C302">
        <v>1</v>
      </c>
      <c r="D302">
        <f>betterSearch(A302,nodes!A:A,nodes!B:B)</f>
        <v>20</v>
      </c>
      <c r="E302">
        <f>betterSearch(B302,nodes!A:A,nodes!B:B)</f>
        <v>230</v>
      </c>
      <c r="F302" t="s">
        <v>279</v>
      </c>
      <c r="G302" t="s">
        <v>280</v>
      </c>
      <c r="H302" t="s">
        <v>281</v>
      </c>
      <c r="I302" t="s">
        <v>276</v>
      </c>
      <c r="J302" t="str">
        <f t="shared" si="4"/>
        <v>{"source":20,"target":230,"value":1},</v>
      </c>
    </row>
    <row r="303" spans="1:10" x14ac:dyDescent="0.25">
      <c r="A303" t="s">
        <v>21</v>
      </c>
      <c r="B303" t="s">
        <v>233</v>
      </c>
      <c r="C303">
        <v>1</v>
      </c>
      <c r="D303">
        <f>betterSearch(A303,nodes!A:A,nodes!B:B)</f>
        <v>19</v>
      </c>
      <c r="E303">
        <f>betterSearch(B303,nodes!A:A,nodes!B:B)</f>
        <v>231</v>
      </c>
      <c r="F303" t="s">
        <v>279</v>
      </c>
      <c r="G303" t="s">
        <v>280</v>
      </c>
      <c r="H303" t="s">
        <v>281</v>
      </c>
      <c r="I303" t="s">
        <v>276</v>
      </c>
      <c r="J303" t="str">
        <f t="shared" si="4"/>
        <v>{"source":19,"target":231,"value":1},</v>
      </c>
    </row>
    <row r="304" spans="1:10" x14ac:dyDescent="0.25">
      <c r="A304" t="s">
        <v>20</v>
      </c>
      <c r="B304" t="s">
        <v>233</v>
      </c>
      <c r="C304">
        <v>1</v>
      </c>
      <c r="D304">
        <f>betterSearch(A304,nodes!A:A,nodes!B:B)</f>
        <v>18</v>
      </c>
      <c r="E304">
        <f>betterSearch(B304,nodes!A:A,nodes!B:B)</f>
        <v>231</v>
      </c>
      <c r="F304" t="s">
        <v>279</v>
      </c>
      <c r="G304" t="s">
        <v>280</v>
      </c>
      <c r="H304" t="s">
        <v>281</v>
      </c>
      <c r="I304" t="s">
        <v>276</v>
      </c>
      <c r="J304" t="str">
        <f t="shared" si="4"/>
        <v>{"source":18,"target":231,"value":1},</v>
      </c>
    </row>
    <row r="305" spans="1:10" x14ac:dyDescent="0.25">
      <c r="A305" t="s">
        <v>79</v>
      </c>
      <c r="B305" t="s">
        <v>233</v>
      </c>
      <c r="C305">
        <v>1</v>
      </c>
      <c r="D305">
        <f>betterSearch(A305,nodes!A:A,nodes!B:B)</f>
        <v>77</v>
      </c>
      <c r="E305">
        <f>betterSearch(B305,nodes!A:A,nodes!B:B)</f>
        <v>231</v>
      </c>
      <c r="F305" t="s">
        <v>279</v>
      </c>
      <c r="G305" t="s">
        <v>280</v>
      </c>
      <c r="H305" t="s">
        <v>281</v>
      </c>
      <c r="I305" t="s">
        <v>276</v>
      </c>
      <c r="J305" t="str">
        <f t="shared" si="4"/>
        <v>{"source":77,"target":231,"value":1},</v>
      </c>
    </row>
    <row r="306" spans="1:10" x14ac:dyDescent="0.25">
      <c r="A306" t="s">
        <v>20</v>
      </c>
      <c r="B306" t="s">
        <v>234</v>
      </c>
      <c r="C306">
        <v>1</v>
      </c>
      <c r="D306">
        <f>betterSearch(A306,nodes!A:A,nodes!B:B)</f>
        <v>18</v>
      </c>
      <c r="E306">
        <f>betterSearch(B306,nodes!A:A,nodes!B:B)</f>
        <v>232</v>
      </c>
      <c r="F306" t="s">
        <v>279</v>
      </c>
      <c r="G306" t="s">
        <v>280</v>
      </c>
      <c r="H306" t="s">
        <v>281</v>
      </c>
      <c r="I306" t="s">
        <v>276</v>
      </c>
      <c r="J306" t="str">
        <f t="shared" si="4"/>
        <v>{"source":18,"target":232,"value":1},</v>
      </c>
    </row>
    <row r="307" spans="1:10" x14ac:dyDescent="0.25">
      <c r="A307" t="s">
        <v>20</v>
      </c>
      <c r="B307" t="s">
        <v>235</v>
      </c>
      <c r="C307">
        <v>1</v>
      </c>
      <c r="D307">
        <f>betterSearch(A307,nodes!A:A,nodes!B:B)</f>
        <v>18</v>
      </c>
      <c r="E307">
        <f>betterSearch(B307,nodes!A:A,nodes!B:B)</f>
        <v>233</v>
      </c>
      <c r="F307" t="s">
        <v>279</v>
      </c>
      <c r="G307" t="s">
        <v>280</v>
      </c>
      <c r="H307" t="s">
        <v>281</v>
      </c>
      <c r="I307" t="s">
        <v>276</v>
      </c>
      <c r="J307" t="str">
        <f t="shared" si="4"/>
        <v>{"source":18,"target":233,"value":1},</v>
      </c>
    </row>
    <row r="308" spans="1:10" x14ac:dyDescent="0.25">
      <c r="A308" t="s">
        <v>79</v>
      </c>
      <c r="B308" t="s">
        <v>236</v>
      </c>
      <c r="C308">
        <v>1</v>
      </c>
      <c r="D308">
        <f>betterSearch(A308,nodes!A:A,nodes!B:B)</f>
        <v>77</v>
      </c>
      <c r="E308">
        <f>betterSearch(B308,nodes!A:A,nodes!B:B)</f>
        <v>234</v>
      </c>
      <c r="F308" t="s">
        <v>279</v>
      </c>
      <c r="G308" t="s">
        <v>280</v>
      </c>
      <c r="H308" t="s">
        <v>281</v>
      </c>
      <c r="I308" t="s">
        <v>276</v>
      </c>
      <c r="J308" t="str">
        <f t="shared" si="4"/>
        <v>{"source":77,"target":234,"value":1},</v>
      </c>
    </row>
    <row r="309" spans="1:10" x14ac:dyDescent="0.25">
      <c r="A309" t="s">
        <v>80</v>
      </c>
      <c r="B309" t="s">
        <v>237</v>
      </c>
      <c r="C309">
        <v>1</v>
      </c>
      <c r="D309">
        <f>betterSearch(A309,nodes!A:A,nodes!B:B)</f>
        <v>78</v>
      </c>
      <c r="E309">
        <f>betterSearch(B309,nodes!A:A,nodes!B:B)</f>
        <v>235</v>
      </c>
      <c r="F309" t="s">
        <v>279</v>
      </c>
      <c r="G309" t="s">
        <v>280</v>
      </c>
      <c r="H309" t="s">
        <v>281</v>
      </c>
      <c r="I309" t="s">
        <v>276</v>
      </c>
      <c r="J309" t="str">
        <f t="shared" si="4"/>
        <v>{"source":78,"target":235,"value":1},</v>
      </c>
    </row>
    <row r="310" spans="1:10" x14ac:dyDescent="0.25">
      <c r="A310" t="s">
        <v>81</v>
      </c>
      <c r="B310" t="s">
        <v>238</v>
      </c>
      <c r="C310">
        <v>1</v>
      </c>
      <c r="D310">
        <f>betterSearch(A310,nodes!A:A,nodes!B:B)</f>
        <v>79</v>
      </c>
      <c r="E310">
        <f>betterSearch(B310,nodes!A:A,nodes!B:B)</f>
        <v>236</v>
      </c>
      <c r="F310" t="s">
        <v>279</v>
      </c>
      <c r="G310" t="s">
        <v>280</v>
      </c>
      <c r="H310" t="s">
        <v>281</v>
      </c>
      <c r="I310" t="s">
        <v>276</v>
      </c>
      <c r="J310" t="str">
        <f t="shared" si="4"/>
        <v>{"source":79,"target":236,"value":1},</v>
      </c>
    </row>
    <row r="311" spans="1:10" x14ac:dyDescent="0.25">
      <c r="A311" t="s">
        <v>82</v>
      </c>
      <c r="B311" t="s">
        <v>240</v>
      </c>
      <c r="C311">
        <v>1</v>
      </c>
      <c r="D311">
        <f>betterSearch(A311,nodes!A:A,nodes!B:B)</f>
        <v>80</v>
      </c>
      <c r="E311">
        <f>betterSearch(B311,nodes!A:A,nodes!B:B)</f>
        <v>238</v>
      </c>
      <c r="F311" t="s">
        <v>279</v>
      </c>
      <c r="G311" t="s">
        <v>280</v>
      </c>
      <c r="H311" t="s">
        <v>281</v>
      </c>
      <c r="I311" t="s">
        <v>276</v>
      </c>
      <c r="J311" t="str">
        <f t="shared" si="4"/>
        <v>{"source":80,"target":238,"value":1},</v>
      </c>
    </row>
    <row r="312" spans="1:10" x14ac:dyDescent="0.25">
      <c r="A312" t="s">
        <v>83</v>
      </c>
      <c r="B312" t="s">
        <v>241</v>
      </c>
      <c r="C312">
        <v>1</v>
      </c>
      <c r="D312">
        <f>betterSearch(A312,nodes!A:A,nodes!B:B)</f>
        <v>81</v>
      </c>
      <c r="E312">
        <f>betterSearch(B312,nodes!A:A,nodes!B:B)</f>
        <v>239</v>
      </c>
      <c r="F312" t="s">
        <v>279</v>
      </c>
      <c r="G312" t="s">
        <v>280</v>
      </c>
      <c r="H312" t="s">
        <v>281</v>
      </c>
      <c r="I312" t="s">
        <v>276</v>
      </c>
      <c r="J312" t="str">
        <f t="shared" si="4"/>
        <v>{"source":81,"target":239,"value":1},</v>
      </c>
    </row>
    <row r="313" spans="1:10" x14ac:dyDescent="0.25">
      <c r="A313" t="s">
        <v>84</v>
      </c>
      <c r="B313" t="s">
        <v>242</v>
      </c>
      <c r="C313">
        <v>1</v>
      </c>
      <c r="D313">
        <f>betterSearch(A313,nodes!A:A,nodes!B:B)</f>
        <v>82</v>
      </c>
      <c r="E313">
        <f>betterSearch(B313,nodes!A:A,nodes!B:B)</f>
        <v>240</v>
      </c>
      <c r="F313" t="s">
        <v>279</v>
      </c>
      <c r="G313" t="s">
        <v>280</v>
      </c>
      <c r="H313" t="s">
        <v>281</v>
      </c>
      <c r="I313" t="s">
        <v>276</v>
      </c>
      <c r="J313" t="str">
        <f t="shared" si="4"/>
        <v>{"source":82,"target":240,"value":1},</v>
      </c>
    </row>
    <row r="314" spans="1:10" x14ac:dyDescent="0.25">
      <c r="A314" t="s">
        <v>85</v>
      </c>
      <c r="B314" t="s">
        <v>242</v>
      </c>
      <c r="C314">
        <v>1</v>
      </c>
      <c r="D314">
        <f>betterSearch(A314,nodes!A:A,nodes!B:B)</f>
        <v>83</v>
      </c>
      <c r="E314">
        <f>betterSearch(B314,nodes!A:A,nodes!B:B)</f>
        <v>240</v>
      </c>
      <c r="F314" t="s">
        <v>279</v>
      </c>
      <c r="G314" t="s">
        <v>280</v>
      </c>
      <c r="H314" t="s">
        <v>281</v>
      </c>
      <c r="I314" t="s">
        <v>276</v>
      </c>
      <c r="J314" t="str">
        <f t="shared" si="4"/>
        <v>{"source":83,"target":240,"value":1},</v>
      </c>
    </row>
    <row r="315" spans="1:10" x14ac:dyDescent="0.25">
      <c r="A315" t="s">
        <v>86</v>
      </c>
      <c r="B315" t="s">
        <v>240</v>
      </c>
      <c r="C315">
        <v>1</v>
      </c>
      <c r="D315">
        <f>betterSearch(A315,nodes!A:A,nodes!B:B)</f>
        <v>84</v>
      </c>
      <c r="E315">
        <f>betterSearch(B315,nodes!A:A,nodes!B:B)</f>
        <v>238</v>
      </c>
      <c r="F315" t="s">
        <v>279</v>
      </c>
      <c r="G315" t="s">
        <v>280</v>
      </c>
      <c r="H315" t="s">
        <v>281</v>
      </c>
      <c r="I315" t="s">
        <v>276</v>
      </c>
      <c r="J315" t="str">
        <f t="shared" si="4"/>
        <v>{"source":84,"target":238,"value":1},</v>
      </c>
    </row>
    <row r="316" spans="1:10" x14ac:dyDescent="0.25">
      <c r="A316" t="s">
        <v>87</v>
      </c>
      <c r="B316" t="s">
        <v>242</v>
      </c>
      <c r="C316">
        <v>1</v>
      </c>
      <c r="D316">
        <f>betterSearch(A316,nodes!A:A,nodes!B:B)</f>
        <v>85</v>
      </c>
      <c r="E316">
        <f>betterSearch(B316,nodes!A:A,nodes!B:B)</f>
        <v>240</v>
      </c>
      <c r="F316" t="s">
        <v>279</v>
      </c>
      <c r="G316" t="s">
        <v>280</v>
      </c>
      <c r="H316" t="s">
        <v>281</v>
      </c>
      <c r="I316" t="s">
        <v>276</v>
      </c>
      <c r="J316" t="str">
        <f t="shared" si="4"/>
        <v>{"source":85,"target":240,"value":1},</v>
      </c>
    </row>
    <row r="317" spans="1:10" x14ac:dyDescent="0.25">
      <c r="A317" t="s">
        <v>88</v>
      </c>
      <c r="B317" t="s">
        <v>243</v>
      </c>
      <c r="C317">
        <v>1</v>
      </c>
      <c r="D317">
        <f>betterSearch(A317,nodes!A:A,nodes!B:B)</f>
        <v>86</v>
      </c>
      <c r="E317">
        <f>betterSearch(B317,nodes!A:A,nodes!B:B)</f>
        <v>242</v>
      </c>
      <c r="F317" t="s">
        <v>279</v>
      </c>
      <c r="G317" t="s">
        <v>280</v>
      </c>
      <c r="H317" t="s">
        <v>281</v>
      </c>
      <c r="I317" t="s">
        <v>276</v>
      </c>
      <c r="J317" t="str">
        <f t="shared" si="4"/>
        <v>{"source":86,"target":242,"value":1},</v>
      </c>
    </row>
    <row r="318" spans="1:10" x14ac:dyDescent="0.25">
      <c r="A318" t="s">
        <v>89</v>
      </c>
      <c r="B318" t="s">
        <v>243</v>
      </c>
      <c r="C318">
        <v>1</v>
      </c>
      <c r="D318">
        <f>betterSearch(A318,nodes!A:A,nodes!B:B)</f>
        <v>87</v>
      </c>
      <c r="E318">
        <f>betterSearch(B318,nodes!A:A,nodes!B:B)</f>
        <v>242</v>
      </c>
      <c r="F318" t="s">
        <v>279</v>
      </c>
      <c r="G318" t="s">
        <v>280</v>
      </c>
      <c r="H318" t="s">
        <v>281</v>
      </c>
      <c r="I318" t="s">
        <v>276</v>
      </c>
      <c r="J318" t="str">
        <f t="shared" si="4"/>
        <v>{"source":87,"target":242,"value":1},</v>
      </c>
    </row>
    <row r="319" spans="1:10" x14ac:dyDescent="0.25">
      <c r="A319" t="s">
        <v>90</v>
      </c>
      <c r="B319" t="s">
        <v>244</v>
      </c>
      <c r="C319">
        <v>1</v>
      </c>
      <c r="D319">
        <f>betterSearch(A319,nodes!A:A,nodes!B:B)</f>
        <v>88</v>
      </c>
      <c r="E319">
        <f>betterSearch(B319,nodes!A:A,nodes!B:B)</f>
        <v>243</v>
      </c>
      <c r="F319" t="s">
        <v>279</v>
      </c>
      <c r="G319" t="s">
        <v>280</v>
      </c>
      <c r="H319" t="s">
        <v>281</v>
      </c>
      <c r="I319" t="s">
        <v>276</v>
      </c>
      <c r="J319" t="str">
        <f t="shared" si="4"/>
        <v>{"source":88,"target":243,"value":1},</v>
      </c>
    </row>
    <row r="320" spans="1:10" x14ac:dyDescent="0.25">
      <c r="A320" t="s">
        <v>91</v>
      </c>
      <c r="B320" t="s">
        <v>245</v>
      </c>
      <c r="C320">
        <v>1</v>
      </c>
      <c r="D320">
        <f>betterSearch(A320,nodes!A:A,nodes!B:B)</f>
        <v>89</v>
      </c>
      <c r="E320">
        <f>betterSearch(B320,nodes!A:A,nodes!B:B)</f>
        <v>244</v>
      </c>
      <c r="F320" t="s">
        <v>279</v>
      </c>
      <c r="G320" t="s">
        <v>280</v>
      </c>
      <c r="H320" t="s">
        <v>281</v>
      </c>
      <c r="I320" t="s">
        <v>276</v>
      </c>
      <c r="J320" t="str">
        <f t="shared" si="4"/>
        <v>{"source":89,"target":244,"value":1},</v>
      </c>
    </row>
    <row r="321" spans="1:10" x14ac:dyDescent="0.25">
      <c r="A321" t="s">
        <v>92</v>
      </c>
      <c r="B321" t="s">
        <v>245</v>
      </c>
      <c r="C321">
        <v>1</v>
      </c>
      <c r="D321">
        <f>betterSearch(A321,nodes!A:A,nodes!B:B)</f>
        <v>90</v>
      </c>
      <c r="E321">
        <f>betterSearch(B321,nodes!A:A,nodes!B:B)</f>
        <v>244</v>
      </c>
      <c r="F321" t="s">
        <v>279</v>
      </c>
      <c r="G321" t="s">
        <v>280</v>
      </c>
      <c r="H321" t="s">
        <v>281</v>
      </c>
      <c r="I321" t="s">
        <v>276</v>
      </c>
      <c r="J321" t="str">
        <f t="shared" si="4"/>
        <v>{"source":90,"target":244,"value":1},</v>
      </c>
    </row>
    <row r="322" spans="1:10" x14ac:dyDescent="0.25">
      <c r="A322" t="s">
        <v>93</v>
      </c>
      <c r="B322" t="s">
        <v>246</v>
      </c>
      <c r="C322">
        <v>1</v>
      </c>
      <c r="D322">
        <f>betterSearch(A322,nodes!A:A,nodes!B:B)</f>
        <v>91</v>
      </c>
      <c r="E322">
        <f>betterSearch(B322,nodes!A:A,nodes!B:B)</f>
        <v>245</v>
      </c>
      <c r="F322" t="s">
        <v>279</v>
      </c>
      <c r="G322" t="s">
        <v>280</v>
      </c>
      <c r="H322" t="s">
        <v>281</v>
      </c>
      <c r="I322" t="s">
        <v>276</v>
      </c>
      <c r="J322" t="str">
        <f t="shared" si="4"/>
        <v>{"source":91,"target":245,"value":1},</v>
      </c>
    </row>
    <row r="323" spans="1:10" x14ac:dyDescent="0.25">
      <c r="A323" t="s">
        <v>94</v>
      </c>
      <c r="B323" t="s">
        <v>246</v>
      </c>
      <c r="C323">
        <v>1</v>
      </c>
      <c r="D323">
        <f>betterSearch(A323,nodes!A:A,nodes!B:B)</f>
        <v>92</v>
      </c>
      <c r="E323">
        <f>betterSearch(B323,nodes!A:A,nodes!B:B)</f>
        <v>245</v>
      </c>
      <c r="F323" t="s">
        <v>279</v>
      </c>
      <c r="G323" t="s">
        <v>280</v>
      </c>
      <c r="H323" t="s">
        <v>281</v>
      </c>
      <c r="I323" t="s">
        <v>276</v>
      </c>
      <c r="J323" t="str">
        <f t="shared" ref="J323:J386" si="5">CONCATENATE(F323,D323,G323,E323,H323,C323,I323)</f>
        <v>{"source":92,"target":245,"value":1},</v>
      </c>
    </row>
    <row r="324" spans="1:10" x14ac:dyDescent="0.25">
      <c r="A324" t="s">
        <v>95</v>
      </c>
      <c r="B324" t="s">
        <v>246</v>
      </c>
      <c r="C324">
        <v>1</v>
      </c>
      <c r="D324">
        <f>betterSearch(A324,nodes!A:A,nodes!B:B)</f>
        <v>93</v>
      </c>
      <c r="E324">
        <f>betterSearch(B324,nodes!A:A,nodes!B:B)</f>
        <v>245</v>
      </c>
      <c r="F324" t="s">
        <v>279</v>
      </c>
      <c r="G324" t="s">
        <v>280</v>
      </c>
      <c r="H324" t="s">
        <v>281</v>
      </c>
      <c r="I324" t="s">
        <v>276</v>
      </c>
      <c r="J324" t="str">
        <f t="shared" si="5"/>
        <v>{"source":93,"target":245,"value":1},</v>
      </c>
    </row>
    <row r="325" spans="1:10" x14ac:dyDescent="0.25">
      <c r="A325" t="s">
        <v>96</v>
      </c>
      <c r="B325" t="s">
        <v>243</v>
      </c>
      <c r="C325">
        <v>1</v>
      </c>
      <c r="D325">
        <f>betterSearch(A325,nodes!A:A,nodes!B:B)</f>
        <v>94</v>
      </c>
      <c r="E325">
        <f>betterSearch(B325,nodes!A:A,nodes!B:B)</f>
        <v>242</v>
      </c>
      <c r="F325" t="s">
        <v>279</v>
      </c>
      <c r="G325" t="s">
        <v>280</v>
      </c>
      <c r="H325" t="s">
        <v>281</v>
      </c>
      <c r="I325" t="s">
        <v>276</v>
      </c>
      <c r="J325" t="str">
        <f t="shared" si="5"/>
        <v>{"source":94,"target":242,"value":1},</v>
      </c>
    </row>
    <row r="326" spans="1:10" x14ac:dyDescent="0.25">
      <c r="A326" t="s">
        <v>97</v>
      </c>
      <c r="B326" t="s">
        <v>247</v>
      </c>
      <c r="C326">
        <v>1</v>
      </c>
      <c r="D326">
        <f>betterSearch(A326,nodes!A:A,nodes!B:B)</f>
        <v>95</v>
      </c>
      <c r="E326">
        <f>betterSearch(B326,nodes!A:A,nodes!B:B)</f>
        <v>246</v>
      </c>
      <c r="F326" t="s">
        <v>279</v>
      </c>
      <c r="G326" t="s">
        <v>280</v>
      </c>
      <c r="H326" t="s">
        <v>281</v>
      </c>
      <c r="I326" t="s">
        <v>276</v>
      </c>
      <c r="J326" t="str">
        <f t="shared" si="5"/>
        <v>{"source":95,"target":246,"value":1},</v>
      </c>
    </row>
    <row r="327" spans="1:10" x14ac:dyDescent="0.25">
      <c r="A327" t="s">
        <v>98</v>
      </c>
      <c r="B327" t="s">
        <v>247</v>
      </c>
      <c r="C327">
        <v>1</v>
      </c>
      <c r="D327">
        <f>betterSearch(A327,nodes!A:A,nodes!B:B)</f>
        <v>96</v>
      </c>
      <c r="E327">
        <f>betterSearch(B327,nodes!A:A,nodes!B:B)</f>
        <v>246</v>
      </c>
      <c r="F327" t="s">
        <v>279</v>
      </c>
      <c r="G327" t="s">
        <v>280</v>
      </c>
      <c r="H327" t="s">
        <v>281</v>
      </c>
      <c r="I327" t="s">
        <v>276</v>
      </c>
      <c r="J327" t="str">
        <f t="shared" si="5"/>
        <v>{"source":96,"target":246,"value":1},</v>
      </c>
    </row>
    <row r="328" spans="1:10" x14ac:dyDescent="0.25">
      <c r="A328" t="s">
        <v>99</v>
      </c>
      <c r="B328" t="s">
        <v>243</v>
      </c>
      <c r="C328">
        <v>1</v>
      </c>
      <c r="D328">
        <f>betterSearch(A328,nodes!A:A,nodes!B:B)</f>
        <v>97</v>
      </c>
      <c r="E328">
        <f>betterSearch(B328,nodes!A:A,nodes!B:B)</f>
        <v>242</v>
      </c>
      <c r="F328" t="s">
        <v>279</v>
      </c>
      <c r="G328" t="s">
        <v>280</v>
      </c>
      <c r="H328" t="s">
        <v>281</v>
      </c>
      <c r="I328" t="s">
        <v>276</v>
      </c>
      <c r="J328" t="str">
        <f t="shared" si="5"/>
        <v>{"source":97,"target":242,"value":1},</v>
      </c>
    </row>
    <row r="329" spans="1:10" x14ac:dyDescent="0.25">
      <c r="A329" t="s">
        <v>100</v>
      </c>
      <c r="B329" t="s">
        <v>243</v>
      </c>
      <c r="C329">
        <v>1</v>
      </c>
      <c r="D329">
        <f>betterSearch(A329,nodes!A:A,nodes!B:B)</f>
        <v>98</v>
      </c>
      <c r="E329">
        <f>betterSearch(B329,nodes!A:A,nodes!B:B)</f>
        <v>242</v>
      </c>
      <c r="F329" t="s">
        <v>279</v>
      </c>
      <c r="G329" t="s">
        <v>280</v>
      </c>
      <c r="H329" t="s">
        <v>281</v>
      </c>
      <c r="I329" t="s">
        <v>276</v>
      </c>
      <c r="J329" t="str">
        <f t="shared" si="5"/>
        <v>{"source":98,"target":242,"value":1},</v>
      </c>
    </row>
    <row r="330" spans="1:10" x14ac:dyDescent="0.25">
      <c r="A330" t="s">
        <v>101</v>
      </c>
      <c r="B330" t="s">
        <v>243</v>
      </c>
      <c r="C330">
        <v>1</v>
      </c>
      <c r="D330">
        <f>betterSearch(A330,nodes!A:A,nodes!B:B)</f>
        <v>99</v>
      </c>
      <c r="E330">
        <f>betterSearch(B330,nodes!A:A,nodes!B:B)</f>
        <v>242</v>
      </c>
      <c r="F330" t="s">
        <v>279</v>
      </c>
      <c r="G330" t="s">
        <v>280</v>
      </c>
      <c r="H330" t="s">
        <v>281</v>
      </c>
      <c r="I330" t="s">
        <v>276</v>
      </c>
      <c r="J330" t="str">
        <f t="shared" si="5"/>
        <v>{"source":99,"target":242,"value":1},</v>
      </c>
    </row>
    <row r="331" spans="1:10" x14ac:dyDescent="0.25">
      <c r="A331" t="s">
        <v>102</v>
      </c>
      <c r="B331" t="s">
        <v>243</v>
      </c>
      <c r="C331">
        <v>1</v>
      </c>
      <c r="D331">
        <f>betterSearch(A331,nodes!A:A,nodes!B:B)</f>
        <v>100</v>
      </c>
      <c r="E331">
        <f>betterSearch(B331,nodes!A:A,nodes!B:B)</f>
        <v>242</v>
      </c>
      <c r="F331" t="s">
        <v>279</v>
      </c>
      <c r="G331" t="s">
        <v>280</v>
      </c>
      <c r="H331" t="s">
        <v>281</v>
      </c>
      <c r="I331" t="s">
        <v>276</v>
      </c>
      <c r="J331" t="str">
        <f t="shared" si="5"/>
        <v>{"source":100,"target":242,"value":1},</v>
      </c>
    </row>
    <row r="332" spans="1:10" x14ac:dyDescent="0.25">
      <c r="A332" t="s">
        <v>103</v>
      </c>
      <c r="B332" t="s">
        <v>243</v>
      </c>
      <c r="C332">
        <v>1</v>
      </c>
      <c r="D332">
        <f>betterSearch(A332,nodes!A:A,nodes!B:B)</f>
        <v>101</v>
      </c>
      <c r="E332">
        <f>betterSearch(B332,nodes!A:A,nodes!B:B)</f>
        <v>242</v>
      </c>
      <c r="F332" t="s">
        <v>279</v>
      </c>
      <c r="G332" t="s">
        <v>280</v>
      </c>
      <c r="H332" t="s">
        <v>281</v>
      </c>
      <c r="I332" t="s">
        <v>276</v>
      </c>
      <c r="J332" t="str">
        <f t="shared" si="5"/>
        <v>{"source":101,"target":242,"value":1},</v>
      </c>
    </row>
    <row r="333" spans="1:10" x14ac:dyDescent="0.25">
      <c r="A333" t="s">
        <v>104</v>
      </c>
      <c r="B333" t="s">
        <v>248</v>
      </c>
      <c r="C333">
        <v>1</v>
      </c>
      <c r="D333">
        <f>betterSearch(A333,nodes!A:A,nodes!B:B)</f>
        <v>102</v>
      </c>
      <c r="E333">
        <f>betterSearch(B333,nodes!A:A,nodes!B:B)</f>
        <v>247</v>
      </c>
      <c r="F333" t="s">
        <v>279</v>
      </c>
      <c r="G333" t="s">
        <v>280</v>
      </c>
      <c r="H333" t="s">
        <v>281</v>
      </c>
      <c r="I333" t="s">
        <v>276</v>
      </c>
      <c r="J333" t="str">
        <f t="shared" si="5"/>
        <v>{"source":102,"target":247,"value":1},</v>
      </c>
    </row>
    <row r="334" spans="1:10" x14ac:dyDescent="0.25">
      <c r="A334" t="s">
        <v>105</v>
      </c>
      <c r="B334" t="s">
        <v>248</v>
      </c>
      <c r="C334">
        <v>1</v>
      </c>
      <c r="D334">
        <f>betterSearch(A334,nodes!A:A,nodes!B:B)</f>
        <v>103</v>
      </c>
      <c r="E334">
        <f>betterSearch(B334,nodes!A:A,nodes!B:B)</f>
        <v>247</v>
      </c>
      <c r="F334" t="s">
        <v>279</v>
      </c>
      <c r="G334" t="s">
        <v>280</v>
      </c>
      <c r="H334" t="s">
        <v>281</v>
      </c>
      <c r="I334" t="s">
        <v>276</v>
      </c>
      <c r="J334" t="str">
        <f t="shared" si="5"/>
        <v>{"source":103,"target":247,"value":1},</v>
      </c>
    </row>
    <row r="335" spans="1:10" x14ac:dyDescent="0.25">
      <c r="A335" t="s">
        <v>106</v>
      </c>
      <c r="B335" t="s">
        <v>248</v>
      </c>
      <c r="C335">
        <v>1</v>
      </c>
      <c r="D335">
        <f>betterSearch(A335,nodes!A:A,nodes!B:B)</f>
        <v>104</v>
      </c>
      <c r="E335">
        <f>betterSearch(B335,nodes!A:A,nodes!B:B)</f>
        <v>247</v>
      </c>
      <c r="F335" t="s">
        <v>279</v>
      </c>
      <c r="G335" t="s">
        <v>280</v>
      </c>
      <c r="H335" t="s">
        <v>281</v>
      </c>
      <c r="I335" t="s">
        <v>276</v>
      </c>
      <c r="J335" t="str">
        <f t="shared" si="5"/>
        <v>{"source":104,"target":247,"value":1},</v>
      </c>
    </row>
    <row r="336" spans="1:10" x14ac:dyDescent="0.25">
      <c r="A336" t="s">
        <v>107</v>
      </c>
      <c r="B336" t="s">
        <v>248</v>
      </c>
      <c r="C336">
        <v>1</v>
      </c>
      <c r="D336">
        <f>betterSearch(A336,nodes!A:A,nodes!B:B)</f>
        <v>105</v>
      </c>
      <c r="E336">
        <f>betterSearch(B336,nodes!A:A,nodes!B:B)</f>
        <v>247</v>
      </c>
      <c r="F336" t="s">
        <v>279</v>
      </c>
      <c r="G336" t="s">
        <v>280</v>
      </c>
      <c r="H336" t="s">
        <v>281</v>
      </c>
      <c r="I336" t="s">
        <v>276</v>
      </c>
      <c r="J336" t="str">
        <f t="shared" si="5"/>
        <v>{"source":105,"target":247,"value":1},</v>
      </c>
    </row>
    <row r="337" spans="1:10" x14ac:dyDescent="0.25">
      <c r="A337" t="s">
        <v>108</v>
      </c>
      <c r="B337" t="s">
        <v>248</v>
      </c>
      <c r="C337">
        <v>1</v>
      </c>
      <c r="D337">
        <f>betterSearch(A337,nodes!A:A,nodes!B:B)</f>
        <v>106</v>
      </c>
      <c r="E337">
        <f>betterSearch(B337,nodes!A:A,nodes!B:B)</f>
        <v>247</v>
      </c>
      <c r="F337" t="s">
        <v>279</v>
      </c>
      <c r="G337" t="s">
        <v>280</v>
      </c>
      <c r="H337" t="s">
        <v>281</v>
      </c>
      <c r="I337" t="s">
        <v>276</v>
      </c>
      <c r="J337" t="str">
        <f t="shared" si="5"/>
        <v>{"source":106,"target":247,"value":1},</v>
      </c>
    </row>
    <row r="338" spans="1:10" x14ac:dyDescent="0.25">
      <c r="A338" t="s">
        <v>109</v>
      </c>
      <c r="B338" t="s">
        <v>248</v>
      </c>
      <c r="C338">
        <v>1</v>
      </c>
      <c r="D338">
        <f>betterSearch(A338,nodes!A:A,nodes!B:B)</f>
        <v>107</v>
      </c>
      <c r="E338">
        <f>betterSearch(B338,nodes!A:A,nodes!B:B)</f>
        <v>247</v>
      </c>
      <c r="F338" t="s">
        <v>279</v>
      </c>
      <c r="G338" t="s">
        <v>280</v>
      </c>
      <c r="H338" t="s">
        <v>281</v>
      </c>
      <c r="I338" t="s">
        <v>276</v>
      </c>
      <c r="J338" t="str">
        <f t="shared" si="5"/>
        <v>{"source":107,"target":247,"value":1},</v>
      </c>
    </row>
    <row r="339" spans="1:10" x14ac:dyDescent="0.25">
      <c r="A339" t="s">
        <v>110</v>
      </c>
      <c r="B339" t="s">
        <v>249</v>
      </c>
      <c r="C339">
        <v>1</v>
      </c>
      <c r="D339">
        <f>betterSearch(A339,nodes!A:A,nodes!B:B)</f>
        <v>108</v>
      </c>
      <c r="E339">
        <f>betterSearch(B339,nodes!A:A,nodes!B:B)</f>
        <v>248</v>
      </c>
      <c r="F339" t="s">
        <v>279</v>
      </c>
      <c r="G339" t="s">
        <v>280</v>
      </c>
      <c r="H339" t="s">
        <v>281</v>
      </c>
      <c r="I339" t="s">
        <v>276</v>
      </c>
      <c r="J339" t="str">
        <f t="shared" si="5"/>
        <v>{"source":108,"target":248,"value":1},</v>
      </c>
    </row>
    <row r="340" spans="1:10" x14ac:dyDescent="0.25">
      <c r="A340" t="s">
        <v>111</v>
      </c>
      <c r="B340" t="s">
        <v>249</v>
      </c>
      <c r="C340">
        <v>1</v>
      </c>
      <c r="D340">
        <f>betterSearch(A340,nodes!A:A,nodes!B:B)</f>
        <v>109</v>
      </c>
      <c r="E340">
        <f>betterSearch(B340,nodes!A:A,nodes!B:B)</f>
        <v>248</v>
      </c>
      <c r="F340" t="s">
        <v>279</v>
      </c>
      <c r="G340" t="s">
        <v>280</v>
      </c>
      <c r="H340" t="s">
        <v>281</v>
      </c>
      <c r="I340" t="s">
        <v>276</v>
      </c>
      <c r="J340" t="str">
        <f t="shared" si="5"/>
        <v>{"source":109,"target":248,"value":1},</v>
      </c>
    </row>
    <row r="341" spans="1:10" x14ac:dyDescent="0.25">
      <c r="A341" t="s">
        <v>112</v>
      </c>
      <c r="B341" t="s">
        <v>249</v>
      </c>
      <c r="C341">
        <v>1</v>
      </c>
      <c r="D341">
        <f>betterSearch(A341,nodes!A:A,nodes!B:B)</f>
        <v>110</v>
      </c>
      <c r="E341">
        <f>betterSearch(B341,nodes!A:A,nodes!B:B)</f>
        <v>248</v>
      </c>
      <c r="F341" t="s">
        <v>279</v>
      </c>
      <c r="G341" t="s">
        <v>280</v>
      </c>
      <c r="H341" t="s">
        <v>281</v>
      </c>
      <c r="I341" t="s">
        <v>276</v>
      </c>
      <c r="J341" t="str">
        <f t="shared" si="5"/>
        <v>{"source":110,"target":248,"value":1},</v>
      </c>
    </row>
    <row r="342" spans="1:10" x14ac:dyDescent="0.25">
      <c r="A342" t="s">
        <v>113</v>
      </c>
      <c r="B342" t="s">
        <v>249</v>
      </c>
      <c r="C342">
        <v>1</v>
      </c>
      <c r="D342">
        <f>betterSearch(A342,nodes!A:A,nodes!B:B)</f>
        <v>111</v>
      </c>
      <c r="E342">
        <f>betterSearch(B342,nodes!A:A,nodes!B:B)</f>
        <v>248</v>
      </c>
      <c r="F342" t="s">
        <v>279</v>
      </c>
      <c r="G342" t="s">
        <v>280</v>
      </c>
      <c r="H342" t="s">
        <v>281</v>
      </c>
      <c r="I342" t="s">
        <v>276</v>
      </c>
      <c r="J342" t="str">
        <f t="shared" si="5"/>
        <v>{"source":111,"target":248,"value":1},</v>
      </c>
    </row>
    <row r="343" spans="1:10" x14ac:dyDescent="0.25">
      <c r="A343" t="s">
        <v>114</v>
      </c>
      <c r="B343" t="s">
        <v>249</v>
      </c>
      <c r="C343">
        <v>1</v>
      </c>
      <c r="D343">
        <f>betterSearch(A343,nodes!A:A,nodes!B:B)</f>
        <v>112</v>
      </c>
      <c r="E343">
        <f>betterSearch(B343,nodes!A:A,nodes!B:B)</f>
        <v>248</v>
      </c>
      <c r="F343" t="s">
        <v>279</v>
      </c>
      <c r="G343" t="s">
        <v>280</v>
      </c>
      <c r="H343" t="s">
        <v>281</v>
      </c>
      <c r="I343" t="s">
        <v>276</v>
      </c>
      <c r="J343" t="str">
        <f t="shared" si="5"/>
        <v>{"source":112,"target":248,"value":1},</v>
      </c>
    </row>
    <row r="344" spans="1:10" x14ac:dyDescent="0.25">
      <c r="A344" t="s">
        <v>115</v>
      </c>
      <c r="B344" t="s">
        <v>249</v>
      </c>
      <c r="C344">
        <v>1</v>
      </c>
      <c r="D344">
        <f>betterSearch(A344,nodes!A:A,nodes!B:B)</f>
        <v>113</v>
      </c>
      <c r="E344">
        <f>betterSearch(B344,nodes!A:A,nodes!B:B)</f>
        <v>248</v>
      </c>
      <c r="F344" t="s">
        <v>279</v>
      </c>
      <c r="G344" t="s">
        <v>280</v>
      </c>
      <c r="H344" t="s">
        <v>281</v>
      </c>
      <c r="I344" t="s">
        <v>276</v>
      </c>
      <c r="J344" t="str">
        <f t="shared" si="5"/>
        <v>{"source":113,"target":248,"value":1},</v>
      </c>
    </row>
    <row r="345" spans="1:10" x14ac:dyDescent="0.25">
      <c r="A345" t="s">
        <v>116</v>
      </c>
      <c r="B345" t="s">
        <v>249</v>
      </c>
      <c r="C345">
        <v>1</v>
      </c>
      <c r="D345">
        <f>betterSearch(A345,nodes!A:A,nodes!B:B)</f>
        <v>114</v>
      </c>
      <c r="E345">
        <f>betterSearch(B345,nodes!A:A,nodes!B:B)</f>
        <v>248</v>
      </c>
      <c r="F345" t="s">
        <v>279</v>
      </c>
      <c r="G345" t="s">
        <v>280</v>
      </c>
      <c r="H345" t="s">
        <v>281</v>
      </c>
      <c r="I345" t="s">
        <v>276</v>
      </c>
      <c r="J345" t="str">
        <f t="shared" si="5"/>
        <v>{"source":114,"target":248,"value":1},</v>
      </c>
    </row>
    <row r="346" spans="1:10" x14ac:dyDescent="0.25">
      <c r="A346" t="s">
        <v>117</v>
      </c>
      <c r="B346" t="s">
        <v>249</v>
      </c>
      <c r="C346">
        <v>1</v>
      </c>
      <c r="D346">
        <f>betterSearch(A346,nodes!A:A,nodes!B:B)</f>
        <v>115</v>
      </c>
      <c r="E346">
        <f>betterSearch(B346,nodes!A:A,nodes!B:B)</f>
        <v>248</v>
      </c>
      <c r="F346" t="s">
        <v>279</v>
      </c>
      <c r="G346" t="s">
        <v>280</v>
      </c>
      <c r="H346" t="s">
        <v>281</v>
      </c>
      <c r="I346" t="s">
        <v>276</v>
      </c>
      <c r="J346" t="str">
        <f t="shared" si="5"/>
        <v>{"source":115,"target":248,"value":1},</v>
      </c>
    </row>
    <row r="347" spans="1:10" x14ac:dyDescent="0.25">
      <c r="A347" t="s">
        <v>118</v>
      </c>
      <c r="B347" t="s">
        <v>249</v>
      </c>
      <c r="C347">
        <v>1</v>
      </c>
      <c r="D347">
        <f>betterSearch(A347,nodes!A:A,nodes!B:B)</f>
        <v>116</v>
      </c>
      <c r="E347">
        <f>betterSearch(B347,nodes!A:A,nodes!B:B)</f>
        <v>248</v>
      </c>
      <c r="F347" t="s">
        <v>279</v>
      </c>
      <c r="G347" t="s">
        <v>280</v>
      </c>
      <c r="H347" t="s">
        <v>281</v>
      </c>
      <c r="I347" t="s">
        <v>276</v>
      </c>
      <c r="J347" t="str">
        <f t="shared" si="5"/>
        <v>{"source":116,"target":248,"value":1},</v>
      </c>
    </row>
    <row r="348" spans="1:10" x14ac:dyDescent="0.25">
      <c r="A348" t="s">
        <v>119</v>
      </c>
      <c r="B348" t="s">
        <v>249</v>
      </c>
      <c r="C348">
        <v>1</v>
      </c>
      <c r="D348">
        <f>betterSearch(A348,nodes!A:A,nodes!B:B)</f>
        <v>117</v>
      </c>
      <c r="E348">
        <f>betterSearch(B348,nodes!A:A,nodes!B:B)</f>
        <v>248</v>
      </c>
      <c r="F348" t="s">
        <v>279</v>
      </c>
      <c r="G348" t="s">
        <v>280</v>
      </c>
      <c r="H348" t="s">
        <v>281</v>
      </c>
      <c r="I348" t="s">
        <v>276</v>
      </c>
      <c r="J348" t="str">
        <f t="shared" si="5"/>
        <v>{"source":117,"target":248,"value":1},</v>
      </c>
    </row>
    <row r="349" spans="1:10" x14ac:dyDescent="0.25">
      <c r="A349" t="s">
        <v>120</v>
      </c>
      <c r="B349" t="s">
        <v>250</v>
      </c>
      <c r="C349">
        <v>1</v>
      </c>
      <c r="D349">
        <f>betterSearch(A349,nodes!A:A,nodes!B:B)</f>
        <v>118</v>
      </c>
      <c r="E349">
        <f>betterSearch(B349,nodes!A:A,nodes!B:B)</f>
        <v>249</v>
      </c>
      <c r="F349" t="s">
        <v>279</v>
      </c>
      <c r="G349" t="s">
        <v>280</v>
      </c>
      <c r="H349" t="s">
        <v>281</v>
      </c>
      <c r="I349" t="s">
        <v>276</v>
      </c>
      <c r="J349" t="str">
        <f t="shared" si="5"/>
        <v>{"source":118,"target":249,"value":1},</v>
      </c>
    </row>
    <row r="350" spans="1:10" x14ac:dyDescent="0.25">
      <c r="A350" t="s">
        <v>121</v>
      </c>
      <c r="B350" t="s">
        <v>250</v>
      </c>
      <c r="C350">
        <v>1</v>
      </c>
      <c r="D350">
        <f>betterSearch(A350,nodes!A:A,nodes!B:B)</f>
        <v>119</v>
      </c>
      <c r="E350">
        <f>betterSearch(B350,nodes!A:A,nodes!B:B)</f>
        <v>249</v>
      </c>
      <c r="F350" t="s">
        <v>279</v>
      </c>
      <c r="G350" t="s">
        <v>280</v>
      </c>
      <c r="H350" t="s">
        <v>281</v>
      </c>
      <c r="I350" t="s">
        <v>276</v>
      </c>
      <c r="J350" t="str">
        <f t="shared" si="5"/>
        <v>{"source":119,"target":249,"value":1},</v>
      </c>
    </row>
    <row r="351" spans="1:10" x14ac:dyDescent="0.25">
      <c r="A351" t="s">
        <v>122</v>
      </c>
      <c r="B351" t="s">
        <v>250</v>
      </c>
      <c r="C351">
        <v>1</v>
      </c>
      <c r="D351">
        <f>betterSearch(A351,nodes!A:A,nodes!B:B)</f>
        <v>120</v>
      </c>
      <c r="E351">
        <f>betterSearch(B351,nodes!A:A,nodes!B:B)</f>
        <v>249</v>
      </c>
      <c r="F351" t="s">
        <v>279</v>
      </c>
      <c r="G351" t="s">
        <v>280</v>
      </c>
      <c r="H351" t="s">
        <v>281</v>
      </c>
      <c r="I351" t="s">
        <v>276</v>
      </c>
      <c r="J351" t="str">
        <f t="shared" si="5"/>
        <v>{"source":120,"target":249,"value":1},</v>
      </c>
    </row>
    <row r="352" spans="1:10" x14ac:dyDescent="0.25">
      <c r="A352" t="s">
        <v>123</v>
      </c>
      <c r="B352" t="s">
        <v>250</v>
      </c>
      <c r="C352">
        <v>1</v>
      </c>
      <c r="D352">
        <f>betterSearch(A352,nodes!A:A,nodes!B:B)</f>
        <v>121</v>
      </c>
      <c r="E352">
        <f>betterSearch(B352,nodes!A:A,nodes!B:B)</f>
        <v>249</v>
      </c>
      <c r="F352" t="s">
        <v>279</v>
      </c>
      <c r="G352" t="s">
        <v>280</v>
      </c>
      <c r="H352" t="s">
        <v>281</v>
      </c>
      <c r="I352" t="s">
        <v>276</v>
      </c>
      <c r="J352" t="str">
        <f t="shared" si="5"/>
        <v>{"source":121,"target":249,"value":1},</v>
      </c>
    </row>
    <row r="353" spans="1:10" x14ac:dyDescent="0.25">
      <c r="A353" t="s">
        <v>124</v>
      </c>
      <c r="B353" t="s">
        <v>250</v>
      </c>
      <c r="C353">
        <v>1</v>
      </c>
      <c r="D353">
        <f>betterSearch(A353,nodes!A:A,nodes!B:B)</f>
        <v>122</v>
      </c>
      <c r="E353">
        <f>betterSearch(B353,nodes!A:A,nodes!B:B)</f>
        <v>249</v>
      </c>
      <c r="F353" t="s">
        <v>279</v>
      </c>
      <c r="G353" t="s">
        <v>280</v>
      </c>
      <c r="H353" t="s">
        <v>281</v>
      </c>
      <c r="I353" t="s">
        <v>276</v>
      </c>
      <c r="J353" t="str">
        <f t="shared" si="5"/>
        <v>{"source":122,"target":249,"value":1},</v>
      </c>
    </row>
    <row r="354" spans="1:10" x14ac:dyDescent="0.25">
      <c r="A354" t="s">
        <v>125</v>
      </c>
      <c r="B354" t="s">
        <v>250</v>
      </c>
      <c r="C354">
        <v>1</v>
      </c>
      <c r="D354">
        <f>betterSearch(A354,nodes!A:A,nodes!B:B)</f>
        <v>123</v>
      </c>
      <c r="E354">
        <f>betterSearch(B354,nodes!A:A,nodes!B:B)</f>
        <v>249</v>
      </c>
      <c r="F354" t="s">
        <v>279</v>
      </c>
      <c r="G354" t="s">
        <v>280</v>
      </c>
      <c r="H354" t="s">
        <v>281</v>
      </c>
      <c r="I354" t="s">
        <v>276</v>
      </c>
      <c r="J354" t="str">
        <f t="shared" si="5"/>
        <v>{"source":123,"target":249,"value":1},</v>
      </c>
    </row>
    <row r="355" spans="1:10" x14ac:dyDescent="0.25">
      <c r="A355" t="s">
        <v>126</v>
      </c>
      <c r="B355" t="s">
        <v>250</v>
      </c>
      <c r="C355">
        <v>1</v>
      </c>
      <c r="D355">
        <f>betterSearch(A355,nodes!A:A,nodes!B:B)</f>
        <v>124</v>
      </c>
      <c r="E355">
        <f>betterSearch(B355,nodes!A:A,nodes!B:B)</f>
        <v>249</v>
      </c>
      <c r="F355" t="s">
        <v>279</v>
      </c>
      <c r="G355" t="s">
        <v>280</v>
      </c>
      <c r="H355" t="s">
        <v>281</v>
      </c>
      <c r="I355" t="s">
        <v>276</v>
      </c>
      <c r="J355" t="str">
        <f t="shared" si="5"/>
        <v>{"source":124,"target":249,"value":1},</v>
      </c>
    </row>
    <row r="356" spans="1:10" x14ac:dyDescent="0.25">
      <c r="A356" t="s">
        <v>127</v>
      </c>
      <c r="B356" t="s">
        <v>250</v>
      </c>
      <c r="C356">
        <v>1</v>
      </c>
      <c r="D356">
        <f>betterSearch(A356,nodes!A:A,nodes!B:B)</f>
        <v>125</v>
      </c>
      <c r="E356">
        <f>betterSearch(B356,nodes!A:A,nodes!B:B)</f>
        <v>249</v>
      </c>
      <c r="F356" t="s">
        <v>279</v>
      </c>
      <c r="G356" t="s">
        <v>280</v>
      </c>
      <c r="H356" t="s">
        <v>281</v>
      </c>
      <c r="I356" t="s">
        <v>276</v>
      </c>
      <c r="J356" t="str">
        <f t="shared" si="5"/>
        <v>{"source":125,"target":249,"value":1},</v>
      </c>
    </row>
    <row r="357" spans="1:10" x14ac:dyDescent="0.25">
      <c r="A357" t="s">
        <v>128</v>
      </c>
      <c r="B357" t="s">
        <v>250</v>
      </c>
      <c r="C357">
        <v>1</v>
      </c>
      <c r="D357">
        <f>betterSearch(A357,nodes!A:A,nodes!B:B)</f>
        <v>126</v>
      </c>
      <c r="E357">
        <f>betterSearch(B357,nodes!A:A,nodes!B:B)</f>
        <v>249</v>
      </c>
      <c r="F357" t="s">
        <v>279</v>
      </c>
      <c r="G357" t="s">
        <v>280</v>
      </c>
      <c r="H357" t="s">
        <v>281</v>
      </c>
      <c r="I357" t="s">
        <v>276</v>
      </c>
      <c r="J357" t="str">
        <f t="shared" si="5"/>
        <v>{"source":126,"target":249,"value":1},</v>
      </c>
    </row>
    <row r="358" spans="1:10" x14ac:dyDescent="0.25">
      <c r="A358" t="s">
        <v>129</v>
      </c>
      <c r="B358" t="s">
        <v>245</v>
      </c>
      <c r="C358">
        <v>1</v>
      </c>
      <c r="D358">
        <f>betterSearch(A358,nodes!A:A,nodes!B:B)</f>
        <v>127</v>
      </c>
      <c r="E358">
        <f>betterSearch(B358,nodes!A:A,nodes!B:B)</f>
        <v>244</v>
      </c>
      <c r="F358" t="s">
        <v>279</v>
      </c>
      <c r="G358" t="s">
        <v>280</v>
      </c>
      <c r="H358" t="s">
        <v>281</v>
      </c>
      <c r="I358" t="s">
        <v>276</v>
      </c>
      <c r="J358" t="str">
        <f t="shared" si="5"/>
        <v>{"source":127,"target":244,"value":1},</v>
      </c>
    </row>
    <row r="359" spans="1:10" x14ac:dyDescent="0.25">
      <c r="A359" t="s">
        <v>130</v>
      </c>
      <c r="B359" t="s">
        <v>245</v>
      </c>
      <c r="C359">
        <v>1</v>
      </c>
      <c r="D359">
        <f>betterSearch(A359,nodes!A:A,nodes!B:B)</f>
        <v>128</v>
      </c>
      <c r="E359">
        <f>betterSearch(B359,nodes!A:A,nodes!B:B)</f>
        <v>244</v>
      </c>
      <c r="F359" t="s">
        <v>279</v>
      </c>
      <c r="G359" t="s">
        <v>280</v>
      </c>
      <c r="H359" t="s">
        <v>281</v>
      </c>
      <c r="I359" t="s">
        <v>276</v>
      </c>
      <c r="J359" t="str">
        <f t="shared" si="5"/>
        <v>{"source":128,"target":244,"value":1},</v>
      </c>
    </row>
    <row r="360" spans="1:10" x14ac:dyDescent="0.25">
      <c r="A360" t="s">
        <v>131</v>
      </c>
      <c r="B360" t="s">
        <v>245</v>
      </c>
      <c r="C360">
        <v>1</v>
      </c>
      <c r="D360">
        <f>betterSearch(A360,nodes!A:A,nodes!B:B)</f>
        <v>129</v>
      </c>
      <c r="E360">
        <f>betterSearch(B360,nodes!A:A,nodes!B:B)</f>
        <v>244</v>
      </c>
      <c r="F360" t="s">
        <v>279</v>
      </c>
      <c r="G360" t="s">
        <v>280</v>
      </c>
      <c r="H360" t="s">
        <v>281</v>
      </c>
      <c r="I360" t="s">
        <v>276</v>
      </c>
      <c r="J360" t="str">
        <f t="shared" si="5"/>
        <v>{"source":129,"target":244,"value":1},</v>
      </c>
    </row>
    <row r="361" spans="1:10" x14ac:dyDescent="0.25">
      <c r="A361" t="s">
        <v>132</v>
      </c>
      <c r="B361" t="s">
        <v>245</v>
      </c>
      <c r="C361">
        <v>1</v>
      </c>
      <c r="D361">
        <f>betterSearch(A361,nodes!A:A,nodes!B:B)</f>
        <v>130</v>
      </c>
      <c r="E361">
        <f>betterSearch(B361,nodes!A:A,nodes!B:B)</f>
        <v>244</v>
      </c>
      <c r="F361" t="s">
        <v>279</v>
      </c>
      <c r="G361" t="s">
        <v>280</v>
      </c>
      <c r="H361" t="s">
        <v>281</v>
      </c>
      <c r="I361" t="s">
        <v>276</v>
      </c>
      <c r="J361" t="str">
        <f t="shared" si="5"/>
        <v>{"source":130,"target":244,"value":1},</v>
      </c>
    </row>
    <row r="362" spans="1:10" x14ac:dyDescent="0.25">
      <c r="A362" t="s">
        <v>133</v>
      </c>
      <c r="B362" t="s">
        <v>245</v>
      </c>
      <c r="C362">
        <v>1</v>
      </c>
      <c r="D362">
        <f>betterSearch(A362,nodes!A:A,nodes!B:B)</f>
        <v>131</v>
      </c>
      <c r="E362">
        <f>betterSearch(B362,nodes!A:A,nodes!B:B)</f>
        <v>244</v>
      </c>
      <c r="F362" t="s">
        <v>279</v>
      </c>
      <c r="G362" t="s">
        <v>280</v>
      </c>
      <c r="H362" t="s">
        <v>281</v>
      </c>
      <c r="I362" t="s">
        <v>276</v>
      </c>
      <c r="J362" t="str">
        <f t="shared" si="5"/>
        <v>{"source":131,"target":244,"value":1},</v>
      </c>
    </row>
    <row r="363" spans="1:10" x14ac:dyDescent="0.25">
      <c r="A363" t="s">
        <v>134</v>
      </c>
      <c r="B363" t="s">
        <v>245</v>
      </c>
      <c r="C363">
        <v>1</v>
      </c>
      <c r="D363">
        <f>betterSearch(A363,nodes!A:A,nodes!B:B)</f>
        <v>132</v>
      </c>
      <c r="E363">
        <f>betterSearch(B363,nodes!A:A,nodes!B:B)</f>
        <v>244</v>
      </c>
      <c r="F363" t="s">
        <v>279</v>
      </c>
      <c r="G363" t="s">
        <v>280</v>
      </c>
      <c r="H363" t="s">
        <v>281</v>
      </c>
      <c r="I363" t="s">
        <v>276</v>
      </c>
      <c r="J363" t="str">
        <f t="shared" si="5"/>
        <v>{"source":132,"target":244,"value":1},</v>
      </c>
    </row>
    <row r="364" spans="1:10" x14ac:dyDescent="0.25">
      <c r="A364" t="s">
        <v>135</v>
      </c>
      <c r="B364" t="s">
        <v>245</v>
      </c>
      <c r="C364">
        <v>1</v>
      </c>
      <c r="D364">
        <f>betterSearch(A364,nodes!A:A,nodes!B:B)</f>
        <v>133</v>
      </c>
      <c r="E364">
        <f>betterSearch(B364,nodes!A:A,nodes!B:B)</f>
        <v>244</v>
      </c>
      <c r="F364" t="s">
        <v>279</v>
      </c>
      <c r="G364" t="s">
        <v>280</v>
      </c>
      <c r="H364" t="s">
        <v>281</v>
      </c>
      <c r="I364" t="s">
        <v>276</v>
      </c>
      <c r="J364" t="str">
        <f t="shared" si="5"/>
        <v>{"source":133,"target":244,"value":1},</v>
      </c>
    </row>
    <row r="365" spans="1:10" x14ac:dyDescent="0.25">
      <c r="A365" t="s">
        <v>136</v>
      </c>
      <c r="B365" t="s">
        <v>245</v>
      </c>
      <c r="C365">
        <v>1</v>
      </c>
      <c r="D365">
        <f>betterSearch(A365,nodes!A:A,nodes!B:B)</f>
        <v>134</v>
      </c>
      <c r="E365">
        <f>betterSearch(B365,nodes!A:A,nodes!B:B)</f>
        <v>244</v>
      </c>
      <c r="F365" t="s">
        <v>279</v>
      </c>
      <c r="G365" t="s">
        <v>280</v>
      </c>
      <c r="H365" t="s">
        <v>281</v>
      </c>
      <c r="I365" t="s">
        <v>276</v>
      </c>
      <c r="J365" t="str">
        <f t="shared" si="5"/>
        <v>{"source":134,"target":244,"value":1},</v>
      </c>
    </row>
    <row r="366" spans="1:10" x14ac:dyDescent="0.25">
      <c r="A366" t="s">
        <v>137</v>
      </c>
      <c r="B366" t="s">
        <v>245</v>
      </c>
      <c r="C366">
        <v>1</v>
      </c>
      <c r="D366">
        <f>betterSearch(A366,nodes!A:A,nodes!B:B)</f>
        <v>135</v>
      </c>
      <c r="E366">
        <f>betterSearch(B366,nodes!A:A,nodes!B:B)</f>
        <v>244</v>
      </c>
      <c r="F366" t="s">
        <v>279</v>
      </c>
      <c r="G366" t="s">
        <v>280</v>
      </c>
      <c r="H366" t="s">
        <v>281</v>
      </c>
      <c r="I366" t="s">
        <v>276</v>
      </c>
      <c r="J366" t="str">
        <f t="shared" si="5"/>
        <v>{"source":135,"target":244,"value":1},</v>
      </c>
    </row>
    <row r="367" spans="1:10" x14ac:dyDescent="0.25">
      <c r="A367" t="s">
        <v>138</v>
      </c>
      <c r="B367" t="s">
        <v>245</v>
      </c>
      <c r="C367">
        <v>1</v>
      </c>
      <c r="D367">
        <f>betterSearch(A367,nodes!A:A,nodes!B:B)</f>
        <v>136</v>
      </c>
      <c r="E367">
        <f>betterSearch(B367,nodes!A:A,nodes!B:B)</f>
        <v>244</v>
      </c>
      <c r="F367" t="s">
        <v>279</v>
      </c>
      <c r="G367" t="s">
        <v>280</v>
      </c>
      <c r="H367" t="s">
        <v>281</v>
      </c>
      <c r="I367" t="s">
        <v>276</v>
      </c>
      <c r="J367" t="str">
        <f t="shared" si="5"/>
        <v>{"source":136,"target":244,"value":1},</v>
      </c>
    </row>
    <row r="368" spans="1:10" x14ac:dyDescent="0.25">
      <c r="A368" t="s">
        <v>139</v>
      </c>
      <c r="B368" t="s">
        <v>245</v>
      </c>
      <c r="C368">
        <v>1</v>
      </c>
      <c r="D368">
        <f>betterSearch(A368,nodes!A:A,nodes!B:B)</f>
        <v>137</v>
      </c>
      <c r="E368">
        <f>betterSearch(B368,nodes!A:A,nodes!B:B)</f>
        <v>244</v>
      </c>
      <c r="F368" t="s">
        <v>279</v>
      </c>
      <c r="G368" t="s">
        <v>280</v>
      </c>
      <c r="H368" t="s">
        <v>281</v>
      </c>
      <c r="I368" t="s">
        <v>276</v>
      </c>
      <c r="J368" t="str">
        <f t="shared" si="5"/>
        <v>{"source":137,"target":244,"value":1},</v>
      </c>
    </row>
    <row r="369" spans="1:10" x14ac:dyDescent="0.25">
      <c r="A369" t="s">
        <v>140</v>
      </c>
      <c r="B369" t="s">
        <v>242</v>
      </c>
      <c r="C369">
        <v>1</v>
      </c>
      <c r="D369">
        <f>betterSearch(A369,nodes!A:A,nodes!B:B)</f>
        <v>138</v>
      </c>
      <c r="E369">
        <f>betterSearch(B369,nodes!A:A,nodes!B:B)</f>
        <v>240</v>
      </c>
      <c r="F369" t="s">
        <v>279</v>
      </c>
      <c r="G369" t="s">
        <v>280</v>
      </c>
      <c r="H369" t="s">
        <v>281</v>
      </c>
      <c r="I369" t="s">
        <v>276</v>
      </c>
      <c r="J369" t="str">
        <f t="shared" si="5"/>
        <v>{"source":138,"target":240,"value":1},</v>
      </c>
    </row>
    <row r="370" spans="1:10" x14ac:dyDescent="0.25">
      <c r="A370" t="s">
        <v>141</v>
      </c>
      <c r="B370" t="s">
        <v>242</v>
      </c>
      <c r="C370">
        <v>1</v>
      </c>
      <c r="D370">
        <f>betterSearch(A370,nodes!A:A,nodes!B:B)</f>
        <v>139</v>
      </c>
      <c r="E370">
        <f>betterSearch(B370,nodes!A:A,nodes!B:B)</f>
        <v>240</v>
      </c>
      <c r="F370" t="s">
        <v>279</v>
      </c>
      <c r="G370" t="s">
        <v>280</v>
      </c>
      <c r="H370" t="s">
        <v>281</v>
      </c>
      <c r="I370" t="s">
        <v>276</v>
      </c>
      <c r="J370" t="str">
        <f t="shared" si="5"/>
        <v>{"source":139,"target":240,"value":1},</v>
      </c>
    </row>
    <row r="371" spans="1:10" x14ac:dyDescent="0.25">
      <c r="A371" t="s">
        <v>142</v>
      </c>
      <c r="B371" t="s">
        <v>242</v>
      </c>
      <c r="C371">
        <v>1</v>
      </c>
      <c r="D371">
        <f>betterSearch(A371,nodes!A:A,nodes!B:B)</f>
        <v>140</v>
      </c>
      <c r="E371">
        <f>betterSearch(B371,nodes!A:A,nodes!B:B)</f>
        <v>240</v>
      </c>
      <c r="F371" t="s">
        <v>279</v>
      </c>
      <c r="G371" t="s">
        <v>280</v>
      </c>
      <c r="H371" t="s">
        <v>281</v>
      </c>
      <c r="I371" t="s">
        <v>276</v>
      </c>
      <c r="J371" t="str">
        <f t="shared" si="5"/>
        <v>{"source":140,"target":240,"value":1},</v>
      </c>
    </row>
    <row r="372" spans="1:10" x14ac:dyDescent="0.25">
      <c r="A372" t="s">
        <v>143</v>
      </c>
      <c r="B372" t="s">
        <v>242</v>
      </c>
      <c r="C372">
        <v>1</v>
      </c>
      <c r="D372">
        <f>betterSearch(A372,nodes!A:A,nodes!B:B)</f>
        <v>141</v>
      </c>
      <c r="E372">
        <f>betterSearch(B372,nodes!A:A,nodes!B:B)</f>
        <v>240</v>
      </c>
      <c r="F372" t="s">
        <v>279</v>
      </c>
      <c r="G372" t="s">
        <v>280</v>
      </c>
      <c r="H372" t="s">
        <v>281</v>
      </c>
      <c r="I372" t="s">
        <v>276</v>
      </c>
      <c r="J372" t="str">
        <f t="shared" si="5"/>
        <v>{"source":141,"target":240,"value":1},</v>
      </c>
    </row>
    <row r="373" spans="1:10" x14ac:dyDescent="0.25">
      <c r="A373" t="s">
        <v>144</v>
      </c>
      <c r="B373" t="s">
        <v>242</v>
      </c>
      <c r="C373">
        <v>1</v>
      </c>
      <c r="D373">
        <f>betterSearch(A373,nodes!A:A,nodes!B:B)</f>
        <v>142</v>
      </c>
      <c r="E373">
        <f>betterSearch(B373,nodes!A:A,nodes!B:B)</f>
        <v>240</v>
      </c>
      <c r="F373" t="s">
        <v>279</v>
      </c>
      <c r="G373" t="s">
        <v>280</v>
      </c>
      <c r="H373" t="s">
        <v>281</v>
      </c>
      <c r="I373" t="s">
        <v>276</v>
      </c>
      <c r="J373" t="str">
        <f t="shared" si="5"/>
        <v>{"source":142,"target":240,"value":1},</v>
      </c>
    </row>
    <row r="374" spans="1:10" x14ac:dyDescent="0.25">
      <c r="A374" t="s">
        <v>145</v>
      </c>
      <c r="B374" t="s">
        <v>242</v>
      </c>
      <c r="C374">
        <v>1</v>
      </c>
      <c r="D374">
        <f>betterSearch(A374,nodes!A:A,nodes!B:B)</f>
        <v>143</v>
      </c>
      <c r="E374">
        <f>betterSearch(B374,nodes!A:A,nodes!B:B)</f>
        <v>240</v>
      </c>
      <c r="F374" t="s">
        <v>279</v>
      </c>
      <c r="G374" t="s">
        <v>280</v>
      </c>
      <c r="H374" t="s">
        <v>281</v>
      </c>
      <c r="I374" t="s">
        <v>276</v>
      </c>
      <c r="J374" t="str">
        <f t="shared" si="5"/>
        <v>{"source":143,"target":240,"value":1},</v>
      </c>
    </row>
    <row r="375" spans="1:10" x14ac:dyDescent="0.25">
      <c r="A375" t="s">
        <v>146</v>
      </c>
      <c r="B375" t="s">
        <v>242</v>
      </c>
      <c r="C375">
        <v>1</v>
      </c>
      <c r="D375">
        <f>betterSearch(A375,nodes!A:A,nodes!B:B)</f>
        <v>144</v>
      </c>
      <c r="E375">
        <f>betterSearch(B375,nodes!A:A,nodes!B:B)</f>
        <v>240</v>
      </c>
      <c r="F375" t="s">
        <v>279</v>
      </c>
      <c r="G375" t="s">
        <v>280</v>
      </c>
      <c r="H375" t="s">
        <v>281</v>
      </c>
      <c r="I375" t="s">
        <v>276</v>
      </c>
      <c r="J375" t="str">
        <f t="shared" si="5"/>
        <v>{"source":144,"target":240,"value":1},</v>
      </c>
    </row>
    <row r="376" spans="1:10" x14ac:dyDescent="0.25">
      <c r="A376" t="s">
        <v>147</v>
      </c>
      <c r="B376" t="s">
        <v>242</v>
      </c>
      <c r="C376">
        <v>1</v>
      </c>
      <c r="D376">
        <f>betterSearch(A376,nodes!A:A,nodes!B:B)</f>
        <v>145</v>
      </c>
      <c r="E376">
        <f>betterSearch(B376,nodes!A:A,nodes!B:B)</f>
        <v>240</v>
      </c>
      <c r="F376" t="s">
        <v>279</v>
      </c>
      <c r="G376" t="s">
        <v>280</v>
      </c>
      <c r="H376" t="s">
        <v>281</v>
      </c>
      <c r="I376" t="s">
        <v>276</v>
      </c>
      <c r="J376" t="str">
        <f t="shared" si="5"/>
        <v>{"source":145,"target":240,"value":1},</v>
      </c>
    </row>
    <row r="377" spans="1:10" x14ac:dyDescent="0.25">
      <c r="A377" t="s">
        <v>148</v>
      </c>
      <c r="B377" t="s">
        <v>242</v>
      </c>
      <c r="C377">
        <v>1</v>
      </c>
      <c r="D377">
        <f>betterSearch(A377,nodes!A:A,nodes!B:B)</f>
        <v>146</v>
      </c>
      <c r="E377">
        <f>betterSearch(B377,nodes!A:A,nodes!B:B)</f>
        <v>240</v>
      </c>
      <c r="F377" t="s">
        <v>279</v>
      </c>
      <c r="G377" t="s">
        <v>280</v>
      </c>
      <c r="H377" t="s">
        <v>281</v>
      </c>
      <c r="I377" t="s">
        <v>276</v>
      </c>
      <c r="J377" t="str">
        <f t="shared" si="5"/>
        <v>{"source":146,"target":240,"value":1},</v>
      </c>
    </row>
    <row r="378" spans="1:10" x14ac:dyDescent="0.25">
      <c r="A378" t="s">
        <v>149</v>
      </c>
      <c r="B378" t="s">
        <v>242</v>
      </c>
      <c r="C378">
        <v>1</v>
      </c>
      <c r="D378">
        <f>betterSearch(A378,nodes!A:A,nodes!B:B)</f>
        <v>147</v>
      </c>
      <c r="E378">
        <f>betterSearch(B378,nodes!A:A,nodes!B:B)</f>
        <v>240</v>
      </c>
      <c r="F378" t="s">
        <v>279</v>
      </c>
      <c r="G378" t="s">
        <v>280</v>
      </c>
      <c r="H378" t="s">
        <v>281</v>
      </c>
      <c r="I378" t="s">
        <v>276</v>
      </c>
      <c r="J378" t="str">
        <f t="shared" si="5"/>
        <v>{"source":147,"target":240,"value":1},</v>
      </c>
    </row>
    <row r="379" spans="1:10" x14ac:dyDescent="0.25">
      <c r="A379" t="s">
        <v>150</v>
      </c>
      <c r="B379" t="s">
        <v>242</v>
      </c>
      <c r="C379">
        <v>1</v>
      </c>
      <c r="D379">
        <f>betterSearch(A379,nodes!A:A,nodes!B:B)</f>
        <v>148</v>
      </c>
      <c r="E379">
        <f>betterSearch(B379,nodes!A:A,nodes!B:B)</f>
        <v>240</v>
      </c>
      <c r="F379" t="s">
        <v>279</v>
      </c>
      <c r="G379" t="s">
        <v>280</v>
      </c>
      <c r="H379" t="s">
        <v>281</v>
      </c>
      <c r="I379" t="s">
        <v>276</v>
      </c>
      <c r="J379" t="str">
        <f t="shared" si="5"/>
        <v>{"source":148,"target":240,"value":1},</v>
      </c>
    </row>
    <row r="380" spans="1:10" x14ac:dyDescent="0.25">
      <c r="A380" t="s">
        <v>151</v>
      </c>
      <c r="B380" t="s">
        <v>242</v>
      </c>
      <c r="C380">
        <v>1</v>
      </c>
      <c r="D380">
        <f>betterSearch(A380,nodes!A:A,nodes!B:B)</f>
        <v>149</v>
      </c>
      <c r="E380">
        <f>betterSearch(B380,nodes!A:A,nodes!B:B)</f>
        <v>240</v>
      </c>
      <c r="F380" t="s">
        <v>279</v>
      </c>
      <c r="G380" t="s">
        <v>280</v>
      </c>
      <c r="H380" t="s">
        <v>281</v>
      </c>
      <c r="I380" t="s">
        <v>276</v>
      </c>
      <c r="J380" t="str">
        <f t="shared" si="5"/>
        <v>{"source":149,"target":240,"value":1},</v>
      </c>
    </row>
    <row r="381" spans="1:10" x14ac:dyDescent="0.25">
      <c r="A381" t="s">
        <v>152</v>
      </c>
      <c r="B381" t="s">
        <v>242</v>
      </c>
      <c r="C381">
        <v>1</v>
      </c>
      <c r="D381">
        <f>betterSearch(A381,nodes!A:A,nodes!B:B)</f>
        <v>150</v>
      </c>
      <c r="E381">
        <f>betterSearch(B381,nodes!A:A,nodes!B:B)</f>
        <v>240</v>
      </c>
      <c r="F381" t="s">
        <v>279</v>
      </c>
      <c r="G381" t="s">
        <v>280</v>
      </c>
      <c r="H381" t="s">
        <v>281</v>
      </c>
      <c r="I381" t="s">
        <v>276</v>
      </c>
      <c r="J381" t="str">
        <f t="shared" si="5"/>
        <v>{"source":150,"target":240,"value":1},</v>
      </c>
    </row>
    <row r="382" spans="1:10" x14ac:dyDescent="0.25">
      <c r="A382" t="s">
        <v>153</v>
      </c>
      <c r="B382" t="s">
        <v>242</v>
      </c>
      <c r="C382">
        <v>1</v>
      </c>
      <c r="D382">
        <f>betterSearch(A382,nodes!A:A,nodes!B:B)</f>
        <v>151</v>
      </c>
      <c r="E382">
        <f>betterSearch(B382,nodes!A:A,nodes!B:B)</f>
        <v>240</v>
      </c>
      <c r="F382" t="s">
        <v>279</v>
      </c>
      <c r="G382" t="s">
        <v>280</v>
      </c>
      <c r="H382" t="s">
        <v>281</v>
      </c>
      <c r="I382" t="s">
        <v>276</v>
      </c>
      <c r="J382" t="str">
        <f t="shared" si="5"/>
        <v>{"source":151,"target":240,"value":1},</v>
      </c>
    </row>
    <row r="383" spans="1:10" x14ac:dyDescent="0.25">
      <c r="A383" t="s">
        <v>154</v>
      </c>
      <c r="B383" t="s">
        <v>242</v>
      </c>
      <c r="C383">
        <v>1</v>
      </c>
      <c r="D383">
        <f>betterSearch(A383,nodes!A:A,nodes!B:B)</f>
        <v>152</v>
      </c>
      <c r="E383">
        <f>betterSearch(B383,nodes!A:A,nodes!B:B)</f>
        <v>240</v>
      </c>
      <c r="F383" t="s">
        <v>279</v>
      </c>
      <c r="G383" t="s">
        <v>280</v>
      </c>
      <c r="H383" t="s">
        <v>281</v>
      </c>
      <c r="I383" t="s">
        <v>276</v>
      </c>
      <c r="J383" t="str">
        <f t="shared" si="5"/>
        <v>{"source":152,"target":240,"value":1},</v>
      </c>
    </row>
    <row r="384" spans="1:10" x14ac:dyDescent="0.25">
      <c r="A384" t="s">
        <v>155</v>
      </c>
      <c r="B384" t="s">
        <v>242</v>
      </c>
      <c r="C384">
        <v>1</v>
      </c>
      <c r="D384">
        <f>betterSearch(A384,nodes!A:A,nodes!B:B)</f>
        <v>153</v>
      </c>
      <c r="E384">
        <f>betterSearch(B384,nodes!A:A,nodes!B:B)</f>
        <v>240</v>
      </c>
      <c r="F384" t="s">
        <v>279</v>
      </c>
      <c r="G384" t="s">
        <v>280</v>
      </c>
      <c r="H384" t="s">
        <v>281</v>
      </c>
      <c r="I384" t="s">
        <v>276</v>
      </c>
      <c r="J384" t="str">
        <f t="shared" si="5"/>
        <v>{"source":153,"target":240,"value":1},</v>
      </c>
    </row>
    <row r="385" spans="1:10" x14ac:dyDescent="0.25">
      <c r="A385" t="s">
        <v>156</v>
      </c>
      <c r="B385" t="s">
        <v>242</v>
      </c>
      <c r="C385">
        <v>1</v>
      </c>
      <c r="D385">
        <f>betterSearch(A385,nodes!A:A,nodes!B:B)</f>
        <v>154</v>
      </c>
      <c r="E385">
        <f>betterSearch(B385,nodes!A:A,nodes!B:B)</f>
        <v>240</v>
      </c>
      <c r="F385" t="s">
        <v>279</v>
      </c>
      <c r="G385" t="s">
        <v>280</v>
      </c>
      <c r="H385" t="s">
        <v>281</v>
      </c>
      <c r="I385" t="s">
        <v>276</v>
      </c>
      <c r="J385" t="str">
        <f t="shared" si="5"/>
        <v>{"source":154,"target":240,"value":1},</v>
      </c>
    </row>
    <row r="386" spans="1:10" x14ac:dyDescent="0.25">
      <c r="A386" t="s">
        <v>157</v>
      </c>
      <c r="B386" t="s">
        <v>242</v>
      </c>
      <c r="C386">
        <v>1</v>
      </c>
      <c r="D386">
        <f>betterSearch(A386,nodes!A:A,nodes!B:B)</f>
        <v>155</v>
      </c>
      <c r="E386">
        <f>betterSearch(B386,nodes!A:A,nodes!B:B)</f>
        <v>240</v>
      </c>
      <c r="F386" t="s">
        <v>279</v>
      </c>
      <c r="G386" t="s">
        <v>280</v>
      </c>
      <c r="H386" t="s">
        <v>281</v>
      </c>
      <c r="I386" t="s">
        <v>276</v>
      </c>
      <c r="J386" t="str">
        <f t="shared" si="5"/>
        <v>{"source":155,"target":240,"value":1},</v>
      </c>
    </row>
    <row r="387" spans="1:10" x14ac:dyDescent="0.25">
      <c r="A387" t="s">
        <v>158</v>
      </c>
      <c r="B387" t="s">
        <v>242</v>
      </c>
      <c r="C387">
        <v>1</v>
      </c>
      <c r="D387">
        <f>betterSearch(A387,nodes!A:A,nodes!B:B)</f>
        <v>156</v>
      </c>
      <c r="E387">
        <f>betterSearch(B387,nodes!A:A,nodes!B:B)</f>
        <v>240</v>
      </c>
      <c r="F387" t="s">
        <v>279</v>
      </c>
      <c r="G387" t="s">
        <v>280</v>
      </c>
      <c r="H387" t="s">
        <v>281</v>
      </c>
      <c r="I387" t="s">
        <v>276</v>
      </c>
      <c r="J387" t="str">
        <f t="shared" ref="J387:J450" si="6">CONCATENATE(F387,D387,G387,E387,H387,C387,I387)</f>
        <v>{"source":156,"target":240,"value":1},</v>
      </c>
    </row>
    <row r="388" spans="1:10" x14ac:dyDescent="0.25">
      <c r="A388" t="s">
        <v>159</v>
      </c>
      <c r="B388" t="s">
        <v>242</v>
      </c>
      <c r="C388">
        <v>1</v>
      </c>
      <c r="D388">
        <f>betterSearch(A388,nodes!A:A,nodes!B:B)</f>
        <v>157</v>
      </c>
      <c r="E388">
        <f>betterSearch(B388,nodes!A:A,nodes!B:B)</f>
        <v>240</v>
      </c>
      <c r="F388" t="s">
        <v>279</v>
      </c>
      <c r="G388" t="s">
        <v>280</v>
      </c>
      <c r="H388" t="s">
        <v>281</v>
      </c>
      <c r="I388" t="s">
        <v>276</v>
      </c>
      <c r="J388" t="str">
        <f t="shared" si="6"/>
        <v>{"source":157,"target":240,"value":1},</v>
      </c>
    </row>
    <row r="389" spans="1:10" x14ac:dyDescent="0.25">
      <c r="A389" t="s">
        <v>160</v>
      </c>
      <c r="B389" t="s">
        <v>242</v>
      </c>
      <c r="C389">
        <v>1</v>
      </c>
      <c r="D389">
        <f>betterSearch(A389,nodes!A:A,nodes!B:B)</f>
        <v>158</v>
      </c>
      <c r="E389">
        <f>betterSearch(B389,nodes!A:A,nodes!B:B)</f>
        <v>240</v>
      </c>
      <c r="F389" t="s">
        <v>279</v>
      </c>
      <c r="G389" t="s">
        <v>280</v>
      </c>
      <c r="H389" t="s">
        <v>281</v>
      </c>
      <c r="I389" t="s">
        <v>276</v>
      </c>
      <c r="J389" t="str">
        <f t="shared" si="6"/>
        <v>{"source":158,"target":240,"value":1},</v>
      </c>
    </row>
    <row r="390" spans="1:10" x14ac:dyDescent="0.25">
      <c r="A390" t="s">
        <v>161</v>
      </c>
      <c r="B390" t="s">
        <v>242</v>
      </c>
      <c r="C390">
        <v>1</v>
      </c>
      <c r="D390">
        <f>betterSearch(A390,nodes!A:A,nodes!B:B)</f>
        <v>159</v>
      </c>
      <c r="E390">
        <f>betterSearch(B390,nodes!A:A,nodes!B:B)</f>
        <v>240</v>
      </c>
      <c r="F390" t="s">
        <v>279</v>
      </c>
      <c r="G390" t="s">
        <v>280</v>
      </c>
      <c r="H390" t="s">
        <v>281</v>
      </c>
      <c r="I390" t="s">
        <v>276</v>
      </c>
      <c r="J390" t="str">
        <f t="shared" si="6"/>
        <v>{"source":159,"target":240,"value":1},</v>
      </c>
    </row>
    <row r="391" spans="1:10" x14ac:dyDescent="0.25">
      <c r="A391" t="s">
        <v>162</v>
      </c>
      <c r="B391" t="s">
        <v>242</v>
      </c>
      <c r="C391">
        <v>1</v>
      </c>
      <c r="D391">
        <f>betterSearch(A391,nodes!A:A,nodes!B:B)</f>
        <v>160</v>
      </c>
      <c r="E391">
        <f>betterSearch(B391,nodes!A:A,nodes!B:B)</f>
        <v>240</v>
      </c>
      <c r="F391" t="s">
        <v>279</v>
      </c>
      <c r="G391" t="s">
        <v>280</v>
      </c>
      <c r="H391" t="s">
        <v>281</v>
      </c>
      <c r="I391" t="s">
        <v>276</v>
      </c>
      <c r="J391" t="str">
        <f t="shared" si="6"/>
        <v>{"source":160,"target":240,"value":1},</v>
      </c>
    </row>
    <row r="392" spans="1:10" x14ac:dyDescent="0.25">
      <c r="A392" t="s">
        <v>163</v>
      </c>
      <c r="B392" t="s">
        <v>242</v>
      </c>
      <c r="C392">
        <v>1</v>
      </c>
      <c r="D392">
        <f>betterSearch(A392,nodes!A:A,nodes!B:B)</f>
        <v>161</v>
      </c>
      <c r="E392">
        <f>betterSearch(B392,nodes!A:A,nodes!B:B)</f>
        <v>240</v>
      </c>
      <c r="F392" t="s">
        <v>279</v>
      </c>
      <c r="G392" t="s">
        <v>280</v>
      </c>
      <c r="H392" t="s">
        <v>281</v>
      </c>
      <c r="I392" t="s">
        <v>276</v>
      </c>
      <c r="J392" t="str">
        <f t="shared" si="6"/>
        <v>{"source":161,"target":240,"value":1},</v>
      </c>
    </row>
    <row r="393" spans="1:10" x14ac:dyDescent="0.25">
      <c r="A393" t="s">
        <v>164</v>
      </c>
      <c r="B393" t="s">
        <v>242</v>
      </c>
      <c r="C393">
        <v>1</v>
      </c>
      <c r="D393">
        <f>betterSearch(A393,nodes!A:A,nodes!B:B)</f>
        <v>162</v>
      </c>
      <c r="E393">
        <f>betterSearch(B393,nodes!A:A,nodes!B:B)</f>
        <v>240</v>
      </c>
      <c r="F393" t="s">
        <v>279</v>
      </c>
      <c r="G393" t="s">
        <v>280</v>
      </c>
      <c r="H393" t="s">
        <v>281</v>
      </c>
      <c r="I393" t="s">
        <v>276</v>
      </c>
      <c r="J393" t="str">
        <f t="shared" si="6"/>
        <v>{"source":162,"target":240,"value":1},</v>
      </c>
    </row>
    <row r="394" spans="1:10" x14ac:dyDescent="0.25">
      <c r="A394" t="s">
        <v>165</v>
      </c>
      <c r="B394" t="s">
        <v>242</v>
      </c>
      <c r="C394">
        <v>1</v>
      </c>
      <c r="D394">
        <f>betterSearch(A394,nodes!A:A,nodes!B:B)</f>
        <v>163</v>
      </c>
      <c r="E394">
        <f>betterSearch(B394,nodes!A:A,nodes!B:B)</f>
        <v>240</v>
      </c>
      <c r="F394" t="s">
        <v>279</v>
      </c>
      <c r="G394" t="s">
        <v>280</v>
      </c>
      <c r="H394" t="s">
        <v>281</v>
      </c>
      <c r="I394" t="s">
        <v>276</v>
      </c>
      <c r="J394" t="str">
        <f t="shared" si="6"/>
        <v>{"source":163,"target":240,"value":1},</v>
      </c>
    </row>
    <row r="395" spans="1:10" x14ac:dyDescent="0.25">
      <c r="A395" t="s">
        <v>166</v>
      </c>
      <c r="B395" t="s">
        <v>242</v>
      </c>
      <c r="C395">
        <v>1</v>
      </c>
      <c r="D395">
        <f>betterSearch(A395,nodes!A:A,nodes!B:B)</f>
        <v>164</v>
      </c>
      <c r="E395">
        <f>betterSearch(B395,nodes!A:A,nodes!B:B)</f>
        <v>240</v>
      </c>
      <c r="F395" t="s">
        <v>279</v>
      </c>
      <c r="G395" t="s">
        <v>280</v>
      </c>
      <c r="H395" t="s">
        <v>281</v>
      </c>
      <c r="I395" t="s">
        <v>276</v>
      </c>
      <c r="J395" t="str">
        <f t="shared" si="6"/>
        <v>{"source":164,"target":240,"value":1},</v>
      </c>
    </row>
    <row r="396" spans="1:10" x14ac:dyDescent="0.25">
      <c r="A396" t="s">
        <v>167</v>
      </c>
      <c r="B396" t="s">
        <v>242</v>
      </c>
      <c r="C396">
        <v>1</v>
      </c>
      <c r="D396">
        <f>betterSearch(A396,nodes!A:A,nodes!B:B)</f>
        <v>165</v>
      </c>
      <c r="E396">
        <f>betterSearch(B396,nodes!A:A,nodes!B:B)</f>
        <v>240</v>
      </c>
      <c r="F396" t="s">
        <v>279</v>
      </c>
      <c r="G396" t="s">
        <v>280</v>
      </c>
      <c r="H396" t="s">
        <v>281</v>
      </c>
      <c r="I396" t="s">
        <v>276</v>
      </c>
      <c r="J396" t="str">
        <f t="shared" si="6"/>
        <v>{"source":165,"target":240,"value":1},</v>
      </c>
    </row>
    <row r="397" spans="1:10" x14ac:dyDescent="0.25">
      <c r="A397" t="s">
        <v>168</v>
      </c>
      <c r="B397" t="s">
        <v>242</v>
      </c>
      <c r="C397">
        <v>1</v>
      </c>
      <c r="D397">
        <f>betterSearch(A397,nodes!A:A,nodes!B:B)</f>
        <v>166</v>
      </c>
      <c r="E397">
        <f>betterSearch(B397,nodes!A:A,nodes!B:B)</f>
        <v>240</v>
      </c>
      <c r="F397" t="s">
        <v>279</v>
      </c>
      <c r="G397" t="s">
        <v>280</v>
      </c>
      <c r="H397" t="s">
        <v>281</v>
      </c>
      <c r="I397" t="s">
        <v>276</v>
      </c>
      <c r="J397" t="str">
        <f t="shared" si="6"/>
        <v>{"source":166,"target":240,"value":1},</v>
      </c>
    </row>
    <row r="398" spans="1:10" x14ac:dyDescent="0.25">
      <c r="A398" t="s">
        <v>169</v>
      </c>
      <c r="B398" t="s">
        <v>242</v>
      </c>
      <c r="C398">
        <v>1</v>
      </c>
      <c r="D398">
        <f>betterSearch(A398,nodes!A:A,nodes!B:B)</f>
        <v>167</v>
      </c>
      <c r="E398">
        <f>betterSearch(B398,nodes!A:A,nodes!B:B)</f>
        <v>240</v>
      </c>
      <c r="F398" t="s">
        <v>279</v>
      </c>
      <c r="G398" t="s">
        <v>280</v>
      </c>
      <c r="H398" t="s">
        <v>281</v>
      </c>
      <c r="I398" t="s">
        <v>276</v>
      </c>
      <c r="J398" t="str">
        <f t="shared" si="6"/>
        <v>{"source":167,"target":240,"value":1},</v>
      </c>
    </row>
    <row r="399" spans="1:10" x14ac:dyDescent="0.25">
      <c r="A399" t="s">
        <v>170</v>
      </c>
      <c r="B399" t="s">
        <v>242</v>
      </c>
      <c r="C399">
        <v>1</v>
      </c>
      <c r="D399">
        <f>betterSearch(A399,nodes!A:A,nodes!B:B)</f>
        <v>168</v>
      </c>
      <c r="E399">
        <f>betterSearch(B399,nodes!A:A,nodes!B:B)</f>
        <v>240</v>
      </c>
      <c r="F399" t="s">
        <v>279</v>
      </c>
      <c r="G399" t="s">
        <v>280</v>
      </c>
      <c r="H399" t="s">
        <v>281</v>
      </c>
      <c r="I399" t="s">
        <v>276</v>
      </c>
      <c r="J399" t="str">
        <f t="shared" si="6"/>
        <v>{"source":168,"target":240,"value":1},</v>
      </c>
    </row>
    <row r="400" spans="1:10" x14ac:dyDescent="0.25">
      <c r="A400" t="s">
        <v>171</v>
      </c>
      <c r="B400" t="s">
        <v>242</v>
      </c>
      <c r="C400">
        <v>1</v>
      </c>
      <c r="D400">
        <f>betterSearch(A400,nodes!A:A,nodes!B:B)</f>
        <v>169</v>
      </c>
      <c r="E400">
        <f>betterSearch(B400,nodes!A:A,nodes!B:B)</f>
        <v>240</v>
      </c>
      <c r="F400" t="s">
        <v>279</v>
      </c>
      <c r="G400" t="s">
        <v>280</v>
      </c>
      <c r="H400" t="s">
        <v>281</v>
      </c>
      <c r="I400" t="s">
        <v>276</v>
      </c>
      <c r="J400" t="str">
        <f t="shared" si="6"/>
        <v>{"source":169,"target":240,"value":1},</v>
      </c>
    </row>
    <row r="401" spans="1:10" x14ac:dyDescent="0.25">
      <c r="A401" t="s">
        <v>172</v>
      </c>
      <c r="B401" t="s">
        <v>242</v>
      </c>
      <c r="C401">
        <v>1</v>
      </c>
      <c r="D401">
        <f>betterSearch(A401,nodes!A:A,nodes!B:B)</f>
        <v>170</v>
      </c>
      <c r="E401">
        <f>betterSearch(B401,nodes!A:A,nodes!B:B)</f>
        <v>240</v>
      </c>
      <c r="F401" t="s">
        <v>279</v>
      </c>
      <c r="G401" t="s">
        <v>280</v>
      </c>
      <c r="H401" t="s">
        <v>281</v>
      </c>
      <c r="I401" t="s">
        <v>276</v>
      </c>
      <c r="J401" t="str">
        <f t="shared" si="6"/>
        <v>{"source":170,"target":240,"value":1},</v>
      </c>
    </row>
    <row r="402" spans="1:10" x14ac:dyDescent="0.25">
      <c r="A402" t="s">
        <v>173</v>
      </c>
      <c r="B402" t="s">
        <v>242</v>
      </c>
      <c r="C402">
        <v>1</v>
      </c>
      <c r="D402">
        <f>betterSearch(A402,nodes!A:A,nodes!B:B)</f>
        <v>171</v>
      </c>
      <c r="E402">
        <f>betterSearch(B402,nodes!A:A,nodes!B:B)</f>
        <v>240</v>
      </c>
      <c r="F402" t="s">
        <v>279</v>
      </c>
      <c r="G402" t="s">
        <v>280</v>
      </c>
      <c r="H402" t="s">
        <v>281</v>
      </c>
      <c r="I402" t="s">
        <v>276</v>
      </c>
      <c r="J402" t="str">
        <f t="shared" si="6"/>
        <v>{"source":171,"target":240,"value":1},</v>
      </c>
    </row>
    <row r="403" spans="1:10" x14ac:dyDescent="0.25">
      <c r="A403" t="s">
        <v>174</v>
      </c>
      <c r="B403" t="s">
        <v>242</v>
      </c>
      <c r="C403">
        <v>1</v>
      </c>
      <c r="D403">
        <f>betterSearch(A403,nodes!A:A,nodes!B:B)</f>
        <v>172</v>
      </c>
      <c r="E403">
        <f>betterSearch(B403,nodes!A:A,nodes!B:B)</f>
        <v>240</v>
      </c>
      <c r="F403" t="s">
        <v>279</v>
      </c>
      <c r="G403" t="s">
        <v>280</v>
      </c>
      <c r="H403" t="s">
        <v>281</v>
      </c>
      <c r="I403" t="s">
        <v>276</v>
      </c>
      <c r="J403" t="str">
        <f t="shared" si="6"/>
        <v>{"source":172,"target":240,"value":1},</v>
      </c>
    </row>
    <row r="404" spans="1:10" x14ac:dyDescent="0.25">
      <c r="A404" t="s">
        <v>175</v>
      </c>
      <c r="B404" t="s">
        <v>242</v>
      </c>
      <c r="C404">
        <v>1</v>
      </c>
      <c r="D404">
        <f>betterSearch(A404,nodes!A:A,nodes!B:B)</f>
        <v>173</v>
      </c>
      <c r="E404">
        <f>betterSearch(B404,nodes!A:A,nodes!B:B)</f>
        <v>240</v>
      </c>
      <c r="F404" t="s">
        <v>279</v>
      </c>
      <c r="G404" t="s">
        <v>280</v>
      </c>
      <c r="H404" t="s">
        <v>281</v>
      </c>
      <c r="I404" t="s">
        <v>276</v>
      </c>
      <c r="J404" t="str">
        <f t="shared" si="6"/>
        <v>{"source":173,"target":240,"value":1},</v>
      </c>
    </row>
    <row r="405" spans="1:10" x14ac:dyDescent="0.25">
      <c r="A405" t="s">
        <v>176</v>
      </c>
      <c r="B405" t="s">
        <v>242</v>
      </c>
      <c r="C405">
        <v>1</v>
      </c>
      <c r="D405">
        <f>betterSearch(A405,nodes!A:A,nodes!B:B)</f>
        <v>174</v>
      </c>
      <c r="E405">
        <f>betterSearch(B405,nodes!A:A,nodes!B:B)</f>
        <v>240</v>
      </c>
      <c r="F405" t="s">
        <v>279</v>
      </c>
      <c r="G405" t="s">
        <v>280</v>
      </c>
      <c r="H405" t="s">
        <v>281</v>
      </c>
      <c r="I405" t="s">
        <v>276</v>
      </c>
      <c r="J405" t="str">
        <f t="shared" si="6"/>
        <v>{"source":174,"target":240,"value":1},</v>
      </c>
    </row>
    <row r="406" spans="1:10" x14ac:dyDescent="0.25">
      <c r="A406" t="s">
        <v>177</v>
      </c>
      <c r="B406" t="s">
        <v>242</v>
      </c>
      <c r="C406">
        <v>1</v>
      </c>
      <c r="D406">
        <f>betterSearch(A406,nodes!A:A,nodes!B:B)</f>
        <v>175</v>
      </c>
      <c r="E406">
        <f>betterSearch(B406,nodes!A:A,nodes!B:B)</f>
        <v>240</v>
      </c>
      <c r="F406" t="s">
        <v>279</v>
      </c>
      <c r="G406" t="s">
        <v>280</v>
      </c>
      <c r="H406" t="s">
        <v>281</v>
      </c>
      <c r="I406" t="s">
        <v>276</v>
      </c>
      <c r="J406" t="str">
        <f t="shared" si="6"/>
        <v>{"source":175,"target":240,"value":1},</v>
      </c>
    </row>
    <row r="407" spans="1:10" x14ac:dyDescent="0.25">
      <c r="A407" t="s">
        <v>178</v>
      </c>
      <c r="B407" t="s">
        <v>242</v>
      </c>
      <c r="C407">
        <v>1</v>
      </c>
      <c r="D407">
        <f>betterSearch(A407,nodes!A:A,nodes!B:B)</f>
        <v>176</v>
      </c>
      <c r="E407">
        <f>betterSearch(B407,nodes!A:A,nodes!B:B)</f>
        <v>240</v>
      </c>
      <c r="F407" t="s">
        <v>279</v>
      </c>
      <c r="G407" t="s">
        <v>280</v>
      </c>
      <c r="H407" t="s">
        <v>281</v>
      </c>
      <c r="I407" t="s">
        <v>276</v>
      </c>
      <c r="J407" t="str">
        <f t="shared" si="6"/>
        <v>{"source":176,"target":240,"value":1},</v>
      </c>
    </row>
    <row r="408" spans="1:10" x14ac:dyDescent="0.25">
      <c r="A408" t="s">
        <v>179</v>
      </c>
      <c r="B408" t="s">
        <v>242</v>
      </c>
      <c r="C408">
        <v>1</v>
      </c>
      <c r="D408">
        <f>betterSearch(A408,nodes!A:A,nodes!B:B)</f>
        <v>177</v>
      </c>
      <c r="E408">
        <f>betterSearch(B408,nodes!A:A,nodes!B:B)</f>
        <v>240</v>
      </c>
      <c r="F408" t="s">
        <v>279</v>
      </c>
      <c r="G408" t="s">
        <v>280</v>
      </c>
      <c r="H408" t="s">
        <v>281</v>
      </c>
      <c r="I408" t="s">
        <v>276</v>
      </c>
      <c r="J408" t="str">
        <f t="shared" si="6"/>
        <v>{"source":177,"target":240,"value":1},</v>
      </c>
    </row>
    <row r="409" spans="1:10" x14ac:dyDescent="0.25">
      <c r="A409" t="s">
        <v>180</v>
      </c>
      <c r="B409" t="s">
        <v>242</v>
      </c>
      <c r="C409">
        <v>1</v>
      </c>
      <c r="D409">
        <f>betterSearch(A409,nodes!A:A,nodes!B:B)</f>
        <v>178</v>
      </c>
      <c r="E409">
        <f>betterSearch(B409,nodes!A:A,nodes!B:B)</f>
        <v>240</v>
      </c>
      <c r="F409" t="s">
        <v>279</v>
      </c>
      <c r="G409" t="s">
        <v>280</v>
      </c>
      <c r="H409" t="s">
        <v>281</v>
      </c>
      <c r="I409" t="s">
        <v>276</v>
      </c>
      <c r="J409" t="str">
        <f t="shared" si="6"/>
        <v>{"source":178,"target":240,"value":1},</v>
      </c>
    </row>
    <row r="410" spans="1:10" x14ac:dyDescent="0.25">
      <c r="A410" t="s">
        <v>181</v>
      </c>
      <c r="B410" t="s">
        <v>242</v>
      </c>
      <c r="C410">
        <v>1</v>
      </c>
      <c r="D410">
        <f>betterSearch(A410,nodes!A:A,nodes!B:B)</f>
        <v>179</v>
      </c>
      <c r="E410">
        <f>betterSearch(B410,nodes!A:A,nodes!B:B)</f>
        <v>240</v>
      </c>
      <c r="F410" t="s">
        <v>279</v>
      </c>
      <c r="G410" t="s">
        <v>280</v>
      </c>
      <c r="H410" t="s">
        <v>281</v>
      </c>
      <c r="I410" t="s">
        <v>276</v>
      </c>
      <c r="J410" t="str">
        <f t="shared" si="6"/>
        <v>{"source":179,"target":240,"value":1},</v>
      </c>
    </row>
    <row r="411" spans="1:10" x14ac:dyDescent="0.25">
      <c r="A411" t="s">
        <v>182</v>
      </c>
      <c r="B411" t="s">
        <v>242</v>
      </c>
      <c r="C411">
        <v>1</v>
      </c>
      <c r="D411">
        <f>betterSearch(A411,nodes!A:A,nodes!B:B)</f>
        <v>180</v>
      </c>
      <c r="E411">
        <f>betterSearch(B411,nodes!A:A,nodes!B:B)</f>
        <v>240</v>
      </c>
      <c r="F411" t="s">
        <v>279</v>
      </c>
      <c r="G411" t="s">
        <v>280</v>
      </c>
      <c r="H411" t="s">
        <v>281</v>
      </c>
      <c r="I411" t="s">
        <v>276</v>
      </c>
      <c r="J411" t="str">
        <f t="shared" si="6"/>
        <v>{"source":180,"target":240,"value":1},</v>
      </c>
    </row>
    <row r="412" spans="1:10" x14ac:dyDescent="0.25">
      <c r="A412" t="s">
        <v>183</v>
      </c>
      <c r="B412" t="s">
        <v>242</v>
      </c>
      <c r="C412">
        <v>1</v>
      </c>
      <c r="D412">
        <f>betterSearch(A412,nodes!A:A,nodes!B:B)</f>
        <v>181</v>
      </c>
      <c r="E412">
        <f>betterSearch(B412,nodes!A:A,nodes!B:B)</f>
        <v>240</v>
      </c>
      <c r="F412" t="s">
        <v>279</v>
      </c>
      <c r="G412" t="s">
        <v>280</v>
      </c>
      <c r="H412" t="s">
        <v>281</v>
      </c>
      <c r="I412" t="s">
        <v>276</v>
      </c>
      <c r="J412" t="str">
        <f t="shared" si="6"/>
        <v>{"source":181,"target":240,"value":1},</v>
      </c>
    </row>
    <row r="413" spans="1:10" x14ac:dyDescent="0.25">
      <c r="A413" t="s">
        <v>184</v>
      </c>
      <c r="B413" t="s">
        <v>242</v>
      </c>
      <c r="C413">
        <v>1</v>
      </c>
      <c r="D413">
        <f>betterSearch(A413,nodes!A:A,nodes!B:B)</f>
        <v>182</v>
      </c>
      <c r="E413">
        <f>betterSearch(B413,nodes!A:A,nodes!B:B)</f>
        <v>240</v>
      </c>
      <c r="F413" t="s">
        <v>279</v>
      </c>
      <c r="G413" t="s">
        <v>280</v>
      </c>
      <c r="H413" t="s">
        <v>281</v>
      </c>
      <c r="I413" t="s">
        <v>276</v>
      </c>
      <c r="J413" t="str">
        <f t="shared" si="6"/>
        <v>{"source":182,"target":240,"value":1},</v>
      </c>
    </row>
    <row r="414" spans="1:10" x14ac:dyDescent="0.25">
      <c r="A414" t="s">
        <v>185</v>
      </c>
      <c r="B414" t="s">
        <v>242</v>
      </c>
      <c r="C414">
        <v>1</v>
      </c>
      <c r="D414">
        <f>betterSearch(A414,nodes!A:A,nodes!B:B)</f>
        <v>183</v>
      </c>
      <c r="E414">
        <f>betterSearch(B414,nodes!A:A,nodes!B:B)</f>
        <v>240</v>
      </c>
      <c r="F414" t="s">
        <v>279</v>
      </c>
      <c r="G414" t="s">
        <v>280</v>
      </c>
      <c r="H414" t="s">
        <v>281</v>
      </c>
      <c r="I414" t="s">
        <v>276</v>
      </c>
      <c r="J414" t="str">
        <f t="shared" si="6"/>
        <v>{"source":183,"target":240,"value":1},</v>
      </c>
    </row>
    <row r="415" spans="1:10" x14ac:dyDescent="0.25">
      <c r="A415" t="s">
        <v>186</v>
      </c>
      <c r="B415" t="s">
        <v>242</v>
      </c>
      <c r="C415">
        <v>1</v>
      </c>
      <c r="D415">
        <f>betterSearch(A415,nodes!A:A,nodes!B:B)</f>
        <v>184</v>
      </c>
      <c r="E415">
        <f>betterSearch(B415,nodes!A:A,nodes!B:B)</f>
        <v>240</v>
      </c>
      <c r="F415" t="s">
        <v>279</v>
      </c>
      <c r="G415" t="s">
        <v>280</v>
      </c>
      <c r="H415" t="s">
        <v>281</v>
      </c>
      <c r="I415" t="s">
        <v>276</v>
      </c>
      <c r="J415" t="str">
        <f t="shared" si="6"/>
        <v>{"source":184,"target":240,"value":1},</v>
      </c>
    </row>
    <row r="416" spans="1:10" x14ac:dyDescent="0.25">
      <c r="A416" t="s">
        <v>187</v>
      </c>
      <c r="B416" t="s">
        <v>251</v>
      </c>
      <c r="C416">
        <v>1</v>
      </c>
      <c r="D416">
        <f>betterSearch(A416,nodes!A:A,nodes!B:B)</f>
        <v>185</v>
      </c>
      <c r="E416">
        <f>betterSearch(B416,nodes!A:A,nodes!B:B)</f>
        <v>250</v>
      </c>
      <c r="F416" t="s">
        <v>279</v>
      </c>
      <c r="G416" t="s">
        <v>280</v>
      </c>
      <c r="H416" t="s">
        <v>281</v>
      </c>
      <c r="I416" t="s">
        <v>276</v>
      </c>
      <c r="J416" t="str">
        <f t="shared" si="6"/>
        <v>{"source":185,"target":250,"value":1},</v>
      </c>
    </row>
    <row r="417" spans="1:10" x14ac:dyDescent="0.25">
      <c r="A417" t="s">
        <v>188</v>
      </c>
      <c r="B417" t="s">
        <v>251</v>
      </c>
      <c r="C417">
        <v>1</v>
      </c>
      <c r="D417">
        <f>betterSearch(A417,nodes!A:A,nodes!B:B)</f>
        <v>186</v>
      </c>
      <c r="E417">
        <f>betterSearch(B417,nodes!A:A,nodes!B:B)</f>
        <v>250</v>
      </c>
      <c r="F417" t="s">
        <v>279</v>
      </c>
      <c r="G417" t="s">
        <v>280</v>
      </c>
      <c r="H417" t="s">
        <v>281</v>
      </c>
      <c r="I417" t="s">
        <v>276</v>
      </c>
      <c r="J417" t="str">
        <f t="shared" si="6"/>
        <v>{"source":186,"target":250,"value":1},</v>
      </c>
    </row>
    <row r="418" spans="1:10" x14ac:dyDescent="0.25">
      <c r="A418" t="s">
        <v>189</v>
      </c>
      <c r="B418" t="s">
        <v>251</v>
      </c>
      <c r="C418">
        <v>1</v>
      </c>
      <c r="D418">
        <f>betterSearch(A418,nodes!A:A,nodes!B:B)</f>
        <v>187</v>
      </c>
      <c r="E418">
        <f>betterSearch(B418,nodes!A:A,nodes!B:B)</f>
        <v>250</v>
      </c>
      <c r="F418" t="s">
        <v>279</v>
      </c>
      <c r="G418" t="s">
        <v>280</v>
      </c>
      <c r="H418" t="s">
        <v>281</v>
      </c>
      <c r="I418" t="s">
        <v>276</v>
      </c>
      <c r="J418" t="str">
        <f t="shared" si="6"/>
        <v>{"source":187,"target":250,"value":1},</v>
      </c>
    </row>
    <row r="419" spans="1:10" x14ac:dyDescent="0.25">
      <c r="A419" t="s">
        <v>190</v>
      </c>
      <c r="B419" t="s">
        <v>251</v>
      </c>
      <c r="C419">
        <v>1</v>
      </c>
      <c r="D419">
        <f>betterSearch(A419,nodes!A:A,nodes!B:B)</f>
        <v>188</v>
      </c>
      <c r="E419">
        <f>betterSearch(B419,nodes!A:A,nodes!B:B)</f>
        <v>250</v>
      </c>
      <c r="F419" t="s">
        <v>279</v>
      </c>
      <c r="G419" t="s">
        <v>280</v>
      </c>
      <c r="H419" t="s">
        <v>281</v>
      </c>
      <c r="I419" t="s">
        <v>276</v>
      </c>
      <c r="J419" t="str">
        <f t="shared" si="6"/>
        <v>{"source":188,"target":250,"value":1},</v>
      </c>
    </row>
    <row r="420" spans="1:10" x14ac:dyDescent="0.25">
      <c r="A420" t="s">
        <v>191</v>
      </c>
      <c r="B420" t="s">
        <v>251</v>
      </c>
      <c r="C420">
        <v>1</v>
      </c>
      <c r="D420">
        <f>betterSearch(A420,nodes!A:A,nodes!B:B)</f>
        <v>189</v>
      </c>
      <c r="E420">
        <f>betterSearch(B420,nodes!A:A,nodes!B:B)</f>
        <v>250</v>
      </c>
      <c r="F420" t="s">
        <v>279</v>
      </c>
      <c r="G420" t="s">
        <v>280</v>
      </c>
      <c r="H420" t="s">
        <v>281</v>
      </c>
      <c r="I420" t="s">
        <v>276</v>
      </c>
      <c r="J420" t="str">
        <f t="shared" si="6"/>
        <v>{"source":189,"target":250,"value":1},</v>
      </c>
    </row>
    <row r="421" spans="1:10" x14ac:dyDescent="0.25">
      <c r="A421" t="s">
        <v>192</v>
      </c>
      <c r="B421" t="s">
        <v>251</v>
      </c>
      <c r="C421">
        <v>1</v>
      </c>
      <c r="D421">
        <f>betterSearch(A421,nodes!A:A,nodes!B:B)</f>
        <v>190</v>
      </c>
      <c r="E421">
        <f>betterSearch(B421,nodes!A:A,nodes!B:B)</f>
        <v>250</v>
      </c>
      <c r="F421" t="s">
        <v>279</v>
      </c>
      <c r="G421" t="s">
        <v>280</v>
      </c>
      <c r="H421" t="s">
        <v>281</v>
      </c>
      <c r="I421" t="s">
        <v>276</v>
      </c>
      <c r="J421" t="str">
        <f t="shared" si="6"/>
        <v>{"source":190,"target":250,"value":1},</v>
      </c>
    </row>
    <row r="422" spans="1:10" x14ac:dyDescent="0.25">
      <c r="A422" t="s">
        <v>193</v>
      </c>
      <c r="B422" t="s">
        <v>251</v>
      </c>
      <c r="C422">
        <v>1</v>
      </c>
      <c r="D422">
        <f>betterSearch(A422,nodes!A:A,nodes!B:B)</f>
        <v>191</v>
      </c>
      <c r="E422">
        <f>betterSearch(B422,nodes!A:A,nodes!B:B)</f>
        <v>250</v>
      </c>
      <c r="F422" t="s">
        <v>279</v>
      </c>
      <c r="G422" t="s">
        <v>280</v>
      </c>
      <c r="H422" t="s">
        <v>281</v>
      </c>
      <c r="I422" t="s">
        <v>276</v>
      </c>
      <c r="J422" t="str">
        <f t="shared" si="6"/>
        <v>{"source":191,"target":250,"value":1},</v>
      </c>
    </row>
    <row r="423" spans="1:10" x14ac:dyDescent="0.25">
      <c r="A423" t="s">
        <v>194</v>
      </c>
      <c r="B423" t="s">
        <v>251</v>
      </c>
      <c r="C423">
        <v>1</v>
      </c>
      <c r="D423">
        <f>betterSearch(A423,nodes!A:A,nodes!B:B)</f>
        <v>192</v>
      </c>
      <c r="E423">
        <f>betterSearch(B423,nodes!A:A,nodes!B:B)</f>
        <v>250</v>
      </c>
      <c r="F423" t="s">
        <v>279</v>
      </c>
      <c r="G423" t="s">
        <v>280</v>
      </c>
      <c r="H423" t="s">
        <v>281</v>
      </c>
      <c r="I423" t="s">
        <v>276</v>
      </c>
      <c r="J423" t="str">
        <f t="shared" si="6"/>
        <v>{"source":192,"target":250,"value":1},</v>
      </c>
    </row>
    <row r="424" spans="1:10" x14ac:dyDescent="0.25">
      <c r="A424" t="s">
        <v>195</v>
      </c>
      <c r="B424" t="s">
        <v>251</v>
      </c>
      <c r="C424">
        <v>1</v>
      </c>
      <c r="D424">
        <f>betterSearch(A424,nodes!A:A,nodes!B:B)</f>
        <v>193</v>
      </c>
      <c r="E424">
        <f>betterSearch(B424,nodes!A:A,nodes!B:B)</f>
        <v>250</v>
      </c>
      <c r="F424" t="s">
        <v>279</v>
      </c>
      <c r="G424" t="s">
        <v>280</v>
      </c>
      <c r="H424" t="s">
        <v>281</v>
      </c>
      <c r="I424" t="s">
        <v>276</v>
      </c>
      <c r="J424" t="str">
        <f t="shared" si="6"/>
        <v>{"source":193,"target":250,"value":1},</v>
      </c>
    </row>
    <row r="425" spans="1:10" x14ac:dyDescent="0.25">
      <c r="A425" t="s">
        <v>196</v>
      </c>
      <c r="B425">
        <v>0</v>
      </c>
      <c r="C425">
        <v>1</v>
      </c>
      <c r="D425">
        <f>betterSearch(A425,nodes!A:A,nodes!B:B)</f>
        <v>194</v>
      </c>
      <c r="E425">
        <f>betterSearch(B425,nodes!A:A,nodes!B:B)</f>
        <v>251</v>
      </c>
      <c r="F425" t="s">
        <v>279</v>
      </c>
      <c r="G425" t="s">
        <v>280</v>
      </c>
      <c r="H425" t="s">
        <v>281</v>
      </c>
      <c r="I425" t="s">
        <v>276</v>
      </c>
      <c r="J425" t="str">
        <f t="shared" si="6"/>
        <v>{"source":194,"target":251,"value":1},</v>
      </c>
    </row>
    <row r="426" spans="1:10" x14ac:dyDescent="0.25">
      <c r="A426" t="s">
        <v>197</v>
      </c>
      <c r="B426">
        <v>0</v>
      </c>
      <c r="C426">
        <v>1</v>
      </c>
      <c r="D426">
        <f>betterSearch(A426,nodes!A:A,nodes!B:B)</f>
        <v>195</v>
      </c>
      <c r="E426">
        <f>betterSearch(B426,nodes!A:A,nodes!B:B)</f>
        <v>251</v>
      </c>
      <c r="F426" t="s">
        <v>279</v>
      </c>
      <c r="G426" t="s">
        <v>280</v>
      </c>
      <c r="H426" t="s">
        <v>281</v>
      </c>
      <c r="I426" t="s">
        <v>276</v>
      </c>
      <c r="J426" t="str">
        <f t="shared" si="6"/>
        <v>{"source":195,"target":251,"value":1},</v>
      </c>
    </row>
    <row r="427" spans="1:10" x14ac:dyDescent="0.25">
      <c r="A427" t="s">
        <v>198</v>
      </c>
      <c r="B427">
        <v>0</v>
      </c>
      <c r="C427">
        <v>1</v>
      </c>
      <c r="D427">
        <f>betterSearch(A427,nodes!A:A,nodes!B:B)</f>
        <v>196</v>
      </c>
      <c r="E427">
        <f>betterSearch(B427,nodes!A:A,nodes!B:B)</f>
        <v>251</v>
      </c>
      <c r="F427" t="s">
        <v>279</v>
      </c>
      <c r="G427" t="s">
        <v>280</v>
      </c>
      <c r="H427" t="s">
        <v>281</v>
      </c>
      <c r="I427" t="s">
        <v>276</v>
      </c>
      <c r="J427" t="str">
        <f t="shared" si="6"/>
        <v>{"source":196,"target":251,"value":1},</v>
      </c>
    </row>
    <row r="428" spans="1:10" x14ac:dyDescent="0.25">
      <c r="A428" t="s">
        <v>199</v>
      </c>
      <c r="B428">
        <v>0</v>
      </c>
      <c r="C428">
        <v>1</v>
      </c>
      <c r="D428">
        <f>betterSearch(A428,nodes!A:A,nodes!B:B)</f>
        <v>197</v>
      </c>
      <c r="E428">
        <f>betterSearch(B428,nodes!A:A,nodes!B:B)</f>
        <v>251</v>
      </c>
      <c r="F428" t="s">
        <v>279</v>
      </c>
      <c r="G428" t="s">
        <v>280</v>
      </c>
      <c r="H428" t="s">
        <v>281</v>
      </c>
      <c r="I428" t="s">
        <v>276</v>
      </c>
      <c r="J428" t="str">
        <f t="shared" si="6"/>
        <v>{"source":197,"target":251,"value":1},</v>
      </c>
    </row>
    <row r="429" spans="1:10" x14ac:dyDescent="0.25">
      <c r="A429" t="s">
        <v>200</v>
      </c>
      <c r="B429">
        <v>0</v>
      </c>
      <c r="C429">
        <v>1</v>
      </c>
      <c r="D429">
        <f>betterSearch(A429,nodes!A:A,nodes!B:B)</f>
        <v>198</v>
      </c>
      <c r="E429">
        <f>betterSearch(B429,nodes!A:A,nodes!B:B)</f>
        <v>251</v>
      </c>
      <c r="F429" t="s">
        <v>279</v>
      </c>
      <c r="G429" t="s">
        <v>280</v>
      </c>
      <c r="H429" t="s">
        <v>281</v>
      </c>
      <c r="I429" t="s">
        <v>276</v>
      </c>
      <c r="J429" t="str">
        <f t="shared" si="6"/>
        <v>{"source":198,"target":251,"value":1},</v>
      </c>
    </row>
    <row r="430" spans="1:10" x14ac:dyDescent="0.25">
      <c r="A430" t="s">
        <v>201</v>
      </c>
      <c r="B430">
        <v>0</v>
      </c>
      <c r="C430">
        <v>1</v>
      </c>
      <c r="D430">
        <f>betterSearch(A430,nodes!A:A,nodes!B:B)</f>
        <v>199</v>
      </c>
      <c r="E430">
        <f>betterSearch(B430,nodes!A:A,nodes!B:B)</f>
        <v>251</v>
      </c>
      <c r="F430" t="s">
        <v>279</v>
      </c>
      <c r="G430" t="s">
        <v>280</v>
      </c>
      <c r="H430" t="s">
        <v>281</v>
      </c>
      <c r="I430" t="s">
        <v>276</v>
      </c>
      <c r="J430" t="str">
        <f t="shared" si="6"/>
        <v>{"source":199,"target":251,"value":1},</v>
      </c>
    </row>
    <row r="431" spans="1:10" x14ac:dyDescent="0.25">
      <c r="A431" t="s">
        <v>202</v>
      </c>
      <c r="B431">
        <v>0</v>
      </c>
      <c r="C431">
        <v>1</v>
      </c>
      <c r="D431">
        <f>betterSearch(A431,nodes!A:A,nodes!B:B)</f>
        <v>200</v>
      </c>
      <c r="E431">
        <f>betterSearch(B431,nodes!A:A,nodes!B:B)</f>
        <v>251</v>
      </c>
      <c r="F431" t="s">
        <v>279</v>
      </c>
      <c r="G431" t="s">
        <v>280</v>
      </c>
      <c r="H431" t="s">
        <v>281</v>
      </c>
      <c r="I431" t="s">
        <v>276</v>
      </c>
      <c r="J431" t="str">
        <f t="shared" si="6"/>
        <v>{"source":200,"target":251,"value":1},</v>
      </c>
    </row>
    <row r="432" spans="1:10" x14ac:dyDescent="0.25">
      <c r="A432" t="s">
        <v>203</v>
      </c>
      <c r="B432">
        <v>0</v>
      </c>
      <c r="C432">
        <v>1</v>
      </c>
      <c r="D432">
        <f>betterSearch(A432,nodes!A:A,nodes!B:B)</f>
        <v>201</v>
      </c>
      <c r="E432">
        <f>betterSearch(B432,nodes!A:A,nodes!B:B)</f>
        <v>251</v>
      </c>
      <c r="F432" t="s">
        <v>279</v>
      </c>
      <c r="G432" t="s">
        <v>280</v>
      </c>
      <c r="H432" t="s">
        <v>281</v>
      </c>
      <c r="I432" t="s">
        <v>276</v>
      </c>
      <c r="J432" t="str">
        <f t="shared" si="6"/>
        <v>{"source":201,"target":251,"value":1},</v>
      </c>
    </row>
    <row r="433" spans="1:10" x14ac:dyDescent="0.25">
      <c r="A433" t="s">
        <v>204</v>
      </c>
      <c r="B433">
        <v>0</v>
      </c>
      <c r="C433">
        <v>1</v>
      </c>
      <c r="D433">
        <f>betterSearch(A433,nodes!A:A,nodes!B:B)</f>
        <v>202</v>
      </c>
      <c r="E433">
        <f>betterSearch(B433,nodes!A:A,nodes!B:B)</f>
        <v>251</v>
      </c>
      <c r="F433" t="s">
        <v>279</v>
      </c>
      <c r="G433" t="s">
        <v>280</v>
      </c>
      <c r="H433" t="s">
        <v>281</v>
      </c>
      <c r="I433" t="s">
        <v>276</v>
      </c>
      <c r="J433" t="str">
        <f t="shared" si="6"/>
        <v>{"source":202,"target":251,"value":1},</v>
      </c>
    </row>
    <row r="434" spans="1:10" x14ac:dyDescent="0.25">
      <c r="A434" t="s">
        <v>205</v>
      </c>
      <c r="B434">
        <v>0</v>
      </c>
      <c r="C434">
        <v>1</v>
      </c>
      <c r="D434">
        <f>betterSearch(A434,nodes!A:A,nodes!B:B)</f>
        <v>203</v>
      </c>
      <c r="E434">
        <f>betterSearch(B434,nodes!A:A,nodes!B:B)</f>
        <v>251</v>
      </c>
      <c r="F434" t="s">
        <v>279</v>
      </c>
      <c r="G434" t="s">
        <v>280</v>
      </c>
      <c r="H434" t="s">
        <v>281</v>
      </c>
      <c r="I434" t="s">
        <v>276</v>
      </c>
      <c r="J434" t="str">
        <f t="shared" si="6"/>
        <v>{"source":203,"target":251,"value":1},</v>
      </c>
    </row>
    <row r="435" spans="1:10" x14ac:dyDescent="0.25">
      <c r="A435" t="s">
        <v>206</v>
      </c>
      <c r="B435">
        <v>0</v>
      </c>
      <c r="C435">
        <v>1</v>
      </c>
      <c r="D435">
        <f>betterSearch(A435,nodes!A:A,nodes!B:B)</f>
        <v>204</v>
      </c>
      <c r="E435">
        <f>betterSearch(B435,nodes!A:A,nodes!B:B)</f>
        <v>251</v>
      </c>
      <c r="F435" t="s">
        <v>279</v>
      </c>
      <c r="G435" t="s">
        <v>280</v>
      </c>
      <c r="H435" t="s">
        <v>281</v>
      </c>
      <c r="I435" t="s">
        <v>276</v>
      </c>
      <c r="J435" t="str">
        <f t="shared" si="6"/>
        <v>{"source":204,"target":251,"value":1},</v>
      </c>
    </row>
    <row r="436" spans="1:10" x14ac:dyDescent="0.25">
      <c r="A436" t="s">
        <v>207</v>
      </c>
      <c r="B436">
        <v>0</v>
      </c>
      <c r="C436">
        <v>1</v>
      </c>
      <c r="D436">
        <f>betterSearch(A436,nodes!A:A,nodes!B:B)</f>
        <v>205</v>
      </c>
      <c r="E436">
        <f>betterSearch(B436,nodes!A:A,nodes!B:B)</f>
        <v>251</v>
      </c>
      <c r="F436" t="s">
        <v>279</v>
      </c>
      <c r="G436" t="s">
        <v>280</v>
      </c>
      <c r="H436" t="s">
        <v>281</v>
      </c>
      <c r="I436" t="s">
        <v>276</v>
      </c>
      <c r="J436" t="str">
        <f t="shared" si="6"/>
        <v>{"source":205,"target":251,"value":1},</v>
      </c>
    </row>
    <row r="437" spans="1:10" x14ac:dyDescent="0.25">
      <c r="A437" t="s">
        <v>208</v>
      </c>
      <c r="B437">
        <v>0</v>
      </c>
      <c r="C437">
        <v>1</v>
      </c>
      <c r="D437">
        <f>betterSearch(A437,nodes!A:A,nodes!B:B)</f>
        <v>206</v>
      </c>
      <c r="E437">
        <f>betterSearch(B437,nodes!A:A,nodes!B:B)</f>
        <v>251</v>
      </c>
      <c r="F437" t="s">
        <v>279</v>
      </c>
      <c r="G437" t="s">
        <v>280</v>
      </c>
      <c r="H437" t="s">
        <v>281</v>
      </c>
      <c r="I437" t="s">
        <v>276</v>
      </c>
      <c r="J437" t="str">
        <f t="shared" si="6"/>
        <v>{"source":206,"target":251,"value":1},</v>
      </c>
    </row>
    <row r="438" spans="1:10" x14ac:dyDescent="0.25">
      <c r="A438" t="s">
        <v>209</v>
      </c>
      <c r="B438" t="s">
        <v>252</v>
      </c>
      <c r="C438">
        <v>1</v>
      </c>
      <c r="D438">
        <f>betterSearch(A438,nodes!A:A,nodes!B:B)</f>
        <v>207</v>
      </c>
      <c r="E438">
        <f>betterSearch(B438,nodes!A:A,nodes!B:B)</f>
        <v>252</v>
      </c>
      <c r="F438" t="s">
        <v>279</v>
      </c>
      <c r="G438" t="s">
        <v>280</v>
      </c>
      <c r="H438" t="s">
        <v>281</v>
      </c>
      <c r="I438" t="s">
        <v>276</v>
      </c>
      <c r="J438" t="str">
        <f t="shared" si="6"/>
        <v>{"source":207,"target":252,"value":1},</v>
      </c>
    </row>
    <row r="439" spans="1:10" x14ac:dyDescent="0.25">
      <c r="A439" t="s">
        <v>210</v>
      </c>
      <c r="B439" t="s">
        <v>252</v>
      </c>
      <c r="C439">
        <v>1</v>
      </c>
      <c r="D439">
        <f>betterSearch(A439,nodes!A:A,nodes!B:B)</f>
        <v>208</v>
      </c>
      <c r="E439">
        <f>betterSearch(B439,nodes!A:A,nodes!B:B)</f>
        <v>252</v>
      </c>
      <c r="F439" t="s">
        <v>279</v>
      </c>
      <c r="G439" t="s">
        <v>280</v>
      </c>
      <c r="H439" t="s">
        <v>281</v>
      </c>
      <c r="I439" t="s">
        <v>276</v>
      </c>
      <c r="J439" t="str">
        <f t="shared" si="6"/>
        <v>{"source":208,"target":252,"value":1},</v>
      </c>
    </row>
    <row r="440" spans="1:10" x14ac:dyDescent="0.25">
      <c r="A440" t="s">
        <v>211</v>
      </c>
      <c r="B440" t="s">
        <v>252</v>
      </c>
      <c r="C440">
        <v>1</v>
      </c>
      <c r="D440">
        <f>betterSearch(A440,nodes!A:A,nodes!B:B)</f>
        <v>209</v>
      </c>
      <c r="E440">
        <f>betterSearch(B440,nodes!A:A,nodes!B:B)</f>
        <v>252</v>
      </c>
      <c r="F440" t="s">
        <v>279</v>
      </c>
      <c r="G440" t="s">
        <v>280</v>
      </c>
      <c r="H440" t="s">
        <v>281</v>
      </c>
      <c r="I440" t="s">
        <v>276</v>
      </c>
      <c r="J440" t="str">
        <f t="shared" si="6"/>
        <v>{"source":209,"target":252,"value":1},</v>
      </c>
    </row>
    <row r="441" spans="1:10" x14ac:dyDescent="0.25">
      <c r="A441" t="s">
        <v>212</v>
      </c>
      <c r="B441" t="s">
        <v>252</v>
      </c>
      <c r="C441">
        <v>1</v>
      </c>
      <c r="D441">
        <f>betterSearch(A441,nodes!A:A,nodes!B:B)</f>
        <v>210</v>
      </c>
      <c r="E441">
        <f>betterSearch(B441,nodes!A:A,nodes!B:B)</f>
        <v>252</v>
      </c>
      <c r="F441" t="s">
        <v>279</v>
      </c>
      <c r="G441" t="s">
        <v>280</v>
      </c>
      <c r="H441" t="s">
        <v>281</v>
      </c>
      <c r="I441" t="s">
        <v>276</v>
      </c>
      <c r="J441" t="str">
        <f t="shared" si="6"/>
        <v>{"source":210,"target":252,"value":1},</v>
      </c>
    </row>
    <row r="442" spans="1:10" x14ac:dyDescent="0.25">
      <c r="A442" t="s">
        <v>213</v>
      </c>
      <c r="B442" t="s">
        <v>252</v>
      </c>
      <c r="C442">
        <v>1</v>
      </c>
      <c r="D442">
        <f>betterSearch(A442,nodes!A:A,nodes!B:B)</f>
        <v>211</v>
      </c>
      <c r="E442">
        <f>betterSearch(B442,nodes!A:A,nodes!B:B)</f>
        <v>252</v>
      </c>
      <c r="F442" t="s">
        <v>279</v>
      </c>
      <c r="G442" t="s">
        <v>280</v>
      </c>
      <c r="H442" t="s">
        <v>281</v>
      </c>
      <c r="I442" t="s">
        <v>276</v>
      </c>
      <c r="J442" t="str">
        <f t="shared" si="6"/>
        <v>{"source":211,"target":252,"value":1},</v>
      </c>
    </row>
    <row r="443" spans="1:10" x14ac:dyDescent="0.25">
      <c r="A443" t="s">
        <v>214</v>
      </c>
      <c r="B443" t="s">
        <v>252</v>
      </c>
      <c r="C443">
        <v>1</v>
      </c>
      <c r="D443">
        <f>betterSearch(A443,nodes!A:A,nodes!B:B)</f>
        <v>212</v>
      </c>
      <c r="E443">
        <f>betterSearch(B443,nodes!A:A,nodes!B:B)</f>
        <v>252</v>
      </c>
      <c r="F443" t="s">
        <v>279</v>
      </c>
      <c r="G443" t="s">
        <v>280</v>
      </c>
      <c r="H443" t="s">
        <v>281</v>
      </c>
      <c r="I443" t="s">
        <v>276</v>
      </c>
      <c r="J443" t="str">
        <f t="shared" si="6"/>
        <v>{"source":212,"target":252,"value":1},</v>
      </c>
    </row>
    <row r="444" spans="1:10" x14ac:dyDescent="0.25">
      <c r="A444" t="s">
        <v>215</v>
      </c>
      <c r="B444" t="s">
        <v>252</v>
      </c>
      <c r="C444">
        <v>1</v>
      </c>
      <c r="D444">
        <f>betterSearch(A444,nodes!A:A,nodes!B:B)</f>
        <v>213</v>
      </c>
      <c r="E444">
        <f>betterSearch(B444,nodes!A:A,nodes!B:B)</f>
        <v>252</v>
      </c>
      <c r="F444" t="s">
        <v>279</v>
      </c>
      <c r="G444" t="s">
        <v>280</v>
      </c>
      <c r="H444" t="s">
        <v>281</v>
      </c>
      <c r="I444" t="s">
        <v>276</v>
      </c>
      <c r="J444" t="str">
        <f t="shared" si="6"/>
        <v>{"source":213,"target":252,"value":1},</v>
      </c>
    </row>
    <row r="445" spans="1:10" x14ac:dyDescent="0.25">
      <c r="A445" t="s">
        <v>216</v>
      </c>
      <c r="B445" t="s">
        <v>243</v>
      </c>
      <c r="C445">
        <v>1</v>
      </c>
      <c r="D445">
        <f>betterSearch(A445,nodes!A:A,nodes!B:B)</f>
        <v>214</v>
      </c>
      <c r="E445">
        <f>betterSearch(B445,nodes!A:A,nodes!B:B)</f>
        <v>242</v>
      </c>
      <c r="F445" t="s">
        <v>279</v>
      </c>
      <c r="G445" t="s">
        <v>280</v>
      </c>
      <c r="H445" t="s">
        <v>281</v>
      </c>
      <c r="I445" t="s">
        <v>276</v>
      </c>
      <c r="J445" t="str">
        <f t="shared" si="6"/>
        <v>{"source":214,"target":242,"value":1},</v>
      </c>
    </row>
    <row r="446" spans="1:10" x14ac:dyDescent="0.25">
      <c r="A446" t="s">
        <v>217</v>
      </c>
      <c r="B446" t="s">
        <v>243</v>
      </c>
      <c r="C446">
        <v>1</v>
      </c>
      <c r="D446">
        <f>betterSearch(A446,nodes!A:A,nodes!B:B)</f>
        <v>215</v>
      </c>
      <c r="E446">
        <f>betterSearch(B446,nodes!A:A,nodes!B:B)</f>
        <v>242</v>
      </c>
      <c r="F446" t="s">
        <v>279</v>
      </c>
      <c r="G446" t="s">
        <v>280</v>
      </c>
      <c r="H446" t="s">
        <v>281</v>
      </c>
      <c r="I446" t="s">
        <v>276</v>
      </c>
      <c r="J446" t="str">
        <f t="shared" si="6"/>
        <v>{"source":215,"target":242,"value":1},</v>
      </c>
    </row>
    <row r="447" spans="1:10" x14ac:dyDescent="0.25">
      <c r="A447" t="s">
        <v>218</v>
      </c>
      <c r="B447" t="s">
        <v>243</v>
      </c>
      <c r="C447">
        <v>1</v>
      </c>
      <c r="D447">
        <f>betterSearch(A447,nodes!A:A,nodes!B:B)</f>
        <v>216</v>
      </c>
      <c r="E447">
        <f>betterSearch(B447,nodes!A:A,nodes!B:B)</f>
        <v>242</v>
      </c>
      <c r="F447" t="s">
        <v>279</v>
      </c>
      <c r="G447" t="s">
        <v>280</v>
      </c>
      <c r="H447" t="s">
        <v>281</v>
      </c>
      <c r="I447" t="s">
        <v>276</v>
      </c>
      <c r="J447" t="str">
        <f t="shared" si="6"/>
        <v>{"source":216,"target":242,"value":1},</v>
      </c>
    </row>
    <row r="448" spans="1:10" x14ac:dyDescent="0.25">
      <c r="A448" t="s">
        <v>219</v>
      </c>
      <c r="B448" t="s">
        <v>243</v>
      </c>
      <c r="C448">
        <v>1</v>
      </c>
      <c r="D448">
        <f>betterSearch(A448,nodes!A:A,nodes!B:B)</f>
        <v>217</v>
      </c>
      <c r="E448">
        <f>betterSearch(B448,nodes!A:A,nodes!B:B)</f>
        <v>242</v>
      </c>
      <c r="F448" t="s">
        <v>279</v>
      </c>
      <c r="G448" t="s">
        <v>280</v>
      </c>
      <c r="H448" t="s">
        <v>281</v>
      </c>
      <c r="I448" t="s">
        <v>276</v>
      </c>
      <c r="J448" t="str">
        <f t="shared" si="6"/>
        <v>{"source":217,"target":242,"value":1},</v>
      </c>
    </row>
    <row r="449" spans="1:10" x14ac:dyDescent="0.25">
      <c r="A449" t="s">
        <v>220</v>
      </c>
      <c r="B449" t="s">
        <v>252</v>
      </c>
      <c r="C449">
        <v>1</v>
      </c>
      <c r="D449">
        <f>betterSearch(A449,nodes!A:A,nodes!B:B)</f>
        <v>218</v>
      </c>
      <c r="E449">
        <f>betterSearch(B449,nodes!A:A,nodes!B:B)</f>
        <v>252</v>
      </c>
      <c r="F449" t="s">
        <v>279</v>
      </c>
      <c r="G449" t="s">
        <v>280</v>
      </c>
      <c r="H449" t="s">
        <v>281</v>
      </c>
      <c r="I449" t="s">
        <v>276</v>
      </c>
      <c r="J449" t="str">
        <f t="shared" si="6"/>
        <v>{"source":218,"target":252,"value":1},</v>
      </c>
    </row>
    <row r="450" spans="1:10" x14ac:dyDescent="0.25">
      <c r="A450" t="s">
        <v>221</v>
      </c>
      <c r="B450" t="s">
        <v>252</v>
      </c>
      <c r="C450">
        <v>1</v>
      </c>
      <c r="D450">
        <f>betterSearch(A450,nodes!A:A,nodes!B:B)</f>
        <v>219</v>
      </c>
      <c r="E450">
        <f>betterSearch(B450,nodes!A:A,nodes!B:B)</f>
        <v>252</v>
      </c>
      <c r="F450" t="s">
        <v>279</v>
      </c>
      <c r="G450" t="s">
        <v>280</v>
      </c>
      <c r="H450" t="s">
        <v>281</v>
      </c>
      <c r="I450" t="s">
        <v>276</v>
      </c>
      <c r="J450" t="str">
        <f t="shared" si="6"/>
        <v>{"source":219,"target":252,"value":1},</v>
      </c>
    </row>
    <row r="451" spans="1:10" x14ac:dyDescent="0.25">
      <c r="A451" t="s">
        <v>222</v>
      </c>
      <c r="B451" t="s">
        <v>253</v>
      </c>
      <c r="C451">
        <v>1</v>
      </c>
      <c r="D451">
        <f>betterSearch(A451,nodes!A:A,nodes!B:B)</f>
        <v>220</v>
      </c>
      <c r="E451">
        <f>betterSearch(B451,nodes!A:A,nodes!B:B)</f>
        <v>253</v>
      </c>
      <c r="F451" t="s">
        <v>279</v>
      </c>
      <c r="G451" t="s">
        <v>280</v>
      </c>
      <c r="H451" t="s">
        <v>281</v>
      </c>
      <c r="I451" t="s">
        <v>276</v>
      </c>
      <c r="J451" t="str">
        <f t="shared" ref="J451:J497" si="7">CONCATENATE(F451,D451,G451,E451,H451,C451,I451)</f>
        <v>{"source":220,"target":253,"value":1},</v>
      </c>
    </row>
    <row r="452" spans="1:10" x14ac:dyDescent="0.25">
      <c r="A452" t="s">
        <v>223</v>
      </c>
      <c r="B452" t="s">
        <v>244</v>
      </c>
      <c r="C452">
        <v>1</v>
      </c>
      <c r="D452">
        <f>betterSearch(A452,nodes!A:A,nodes!B:B)</f>
        <v>221</v>
      </c>
      <c r="E452">
        <f>betterSearch(B452,nodes!A:A,nodes!B:B)</f>
        <v>243</v>
      </c>
      <c r="F452" t="s">
        <v>279</v>
      </c>
      <c r="G452" t="s">
        <v>280</v>
      </c>
      <c r="H452" t="s">
        <v>281</v>
      </c>
      <c r="I452" t="s">
        <v>276</v>
      </c>
      <c r="J452" t="str">
        <f t="shared" si="7"/>
        <v>{"source":221,"target":243,"value":1},</v>
      </c>
    </row>
    <row r="453" spans="1:10" x14ac:dyDescent="0.25">
      <c r="A453" t="s">
        <v>224</v>
      </c>
      <c r="B453" t="s">
        <v>244</v>
      </c>
      <c r="C453">
        <v>1</v>
      </c>
      <c r="D453">
        <f>betterSearch(A453,nodes!A:A,nodes!B:B)</f>
        <v>222</v>
      </c>
      <c r="E453">
        <f>betterSearch(B453,nodes!A:A,nodes!B:B)</f>
        <v>243</v>
      </c>
      <c r="F453" t="s">
        <v>279</v>
      </c>
      <c r="G453" t="s">
        <v>280</v>
      </c>
      <c r="H453" t="s">
        <v>281</v>
      </c>
      <c r="I453" t="s">
        <v>276</v>
      </c>
      <c r="J453" t="str">
        <f t="shared" si="7"/>
        <v>{"source":222,"target":243,"value":1},</v>
      </c>
    </row>
    <row r="454" spans="1:10" x14ac:dyDescent="0.25">
      <c r="A454" t="s">
        <v>225</v>
      </c>
      <c r="B454" t="s">
        <v>244</v>
      </c>
      <c r="C454">
        <v>1</v>
      </c>
      <c r="D454">
        <f>betterSearch(A454,nodes!A:A,nodes!B:B)</f>
        <v>223</v>
      </c>
      <c r="E454">
        <f>betterSearch(B454,nodes!A:A,nodes!B:B)</f>
        <v>243</v>
      </c>
      <c r="F454" t="s">
        <v>279</v>
      </c>
      <c r="G454" t="s">
        <v>280</v>
      </c>
      <c r="H454" t="s">
        <v>281</v>
      </c>
      <c r="I454" t="s">
        <v>276</v>
      </c>
      <c r="J454" t="str">
        <f t="shared" si="7"/>
        <v>{"source":223,"target":243,"value":1},</v>
      </c>
    </row>
    <row r="455" spans="1:10" x14ac:dyDescent="0.25">
      <c r="A455" t="s">
        <v>226</v>
      </c>
      <c r="B455" t="s">
        <v>244</v>
      </c>
      <c r="C455">
        <v>1</v>
      </c>
      <c r="D455">
        <f>betterSearch(A455,nodes!A:A,nodes!B:B)</f>
        <v>224</v>
      </c>
      <c r="E455">
        <f>betterSearch(B455,nodes!A:A,nodes!B:B)</f>
        <v>243</v>
      </c>
      <c r="F455" t="s">
        <v>279</v>
      </c>
      <c r="G455" t="s">
        <v>280</v>
      </c>
      <c r="H455" t="s">
        <v>281</v>
      </c>
      <c r="I455" t="s">
        <v>276</v>
      </c>
      <c r="J455" t="str">
        <f t="shared" si="7"/>
        <v>{"source":224,"target":243,"value":1},</v>
      </c>
    </row>
    <row r="456" spans="1:10" x14ac:dyDescent="0.25">
      <c r="A456" t="s">
        <v>227</v>
      </c>
      <c r="B456" t="s">
        <v>244</v>
      </c>
      <c r="C456">
        <v>1</v>
      </c>
      <c r="D456">
        <f>betterSearch(A456,nodes!A:A,nodes!B:B)</f>
        <v>225</v>
      </c>
      <c r="E456">
        <f>betterSearch(B456,nodes!A:A,nodes!B:B)</f>
        <v>243</v>
      </c>
      <c r="F456" t="s">
        <v>279</v>
      </c>
      <c r="G456" t="s">
        <v>280</v>
      </c>
      <c r="H456" t="s">
        <v>281</v>
      </c>
      <c r="I456" t="s">
        <v>276</v>
      </c>
      <c r="J456" t="str">
        <f t="shared" si="7"/>
        <v>{"source":225,"target":243,"value":1},</v>
      </c>
    </row>
    <row r="457" spans="1:10" x14ac:dyDescent="0.25">
      <c r="A457" t="s">
        <v>228</v>
      </c>
      <c r="B457" t="s">
        <v>244</v>
      </c>
      <c r="C457">
        <v>1</v>
      </c>
      <c r="D457">
        <f>betterSearch(A457,nodes!A:A,nodes!B:B)</f>
        <v>226</v>
      </c>
      <c r="E457">
        <f>betterSearch(B457,nodes!A:A,nodes!B:B)</f>
        <v>243</v>
      </c>
      <c r="F457" t="s">
        <v>279</v>
      </c>
      <c r="G457" t="s">
        <v>280</v>
      </c>
      <c r="H457" t="s">
        <v>281</v>
      </c>
      <c r="I457" t="s">
        <v>276</v>
      </c>
      <c r="J457" t="str">
        <f t="shared" si="7"/>
        <v>{"source":226,"target":243,"value":1},</v>
      </c>
    </row>
    <row r="458" spans="1:10" x14ac:dyDescent="0.25">
      <c r="A458" t="s">
        <v>229</v>
      </c>
      <c r="B458" t="s">
        <v>244</v>
      </c>
      <c r="C458">
        <v>1</v>
      </c>
      <c r="D458">
        <f>betterSearch(A458,nodes!A:A,nodes!B:B)</f>
        <v>227</v>
      </c>
      <c r="E458">
        <f>betterSearch(B458,nodes!A:A,nodes!B:B)</f>
        <v>243</v>
      </c>
      <c r="F458" t="s">
        <v>279</v>
      </c>
      <c r="G458" t="s">
        <v>280</v>
      </c>
      <c r="H458" t="s">
        <v>281</v>
      </c>
      <c r="I458" t="s">
        <v>276</v>
      </c>
      <c r="J458" t="str">
        <f t="shared" si="7"/>
        <v>{"source":227,"target":243,"value":1},</v>
      </c>
    </row>
    <row r="459" spans="1:10" x14ac:dyDescent="0.25">
      <c r="A459" t="s">
        <v>230</v>
      </c>
      <c r="B459" t="s">
        <v>244</v>
      </c>
      <c r="C459">
        <v>1</v>
      </c>
      <c r="D459">
        <f>betterSearch(A459,nodes!A:A,nodes!B:B)</f>
        <v>228</v>
      </c>
      <c r="E459">
        <f>betterSearch(B459,nodes!A:A,nodes!B:B)</f>
        <v>243</v>
      </c>
      <c r="F459" t="s">
        <v>279</v>
      </c>
      <c r="G459" t="s">
        <v>280</v>
      </c>
      <c r="H459" t="s">
        <v>281</v>
      </c>
      <c r="I459" t="s">
        <v>276</v>
      </c>
      <c r="J459" t="str">
        <f t="shared" si="7"/>
        <v>{"source":228,"target":243,"value":1},</v>
      </c>
    </row>
    <row r="460" spans="1:10" x14ac:dyDescent="0.25">
      <c r="A460" t="s">
        <v>231</v>
      </c>
      <c r="B460" t="s">
        <v>244</v>
      </c>
      <c r="C460">
        <v>1</v>
      </c>
      <c r="D460">
        <f>betterSearch(A460,nodes!A:A,nodes!B:B)</f>
        <v>229</v>
      </c>
      <c r="E460">
        <f>betterSearch(B460,nodes!A:A,nodes!B:B)</f>
        <v>243</v>
      </c>
      <c r="F460" t="s">
        <v>279</v>
      </c>
      <c r="G460" t="s">
        <v>280</v>
      </c>
      <c r="H460" t="s">
        <v>281</v>
      </c>
      <c r="I460" t="s">
        <v>276</v>
      </c>
      <c r="J460" t="str">
        <f t="shared" si="7"/>
        <v>{"source":229,"target":243,"value":1},</v>
      </c>
    </row>
    <row r="461" spans="1:10" x14ac:dyDescent="0.25">
      <c r="A461" t="s">
        <v>232</v>
      </c>
      <c r="B461" t="s">
        <v>244</v>
      </c>
      <c r="C461">
        <v>1</v>
      </c>
      <c r="D461">
        <f>betterSearch(A461,nodes!A:A,nodes!B:B)</f>
        <v>230</v>
      </c>
      <c r="E461">
        <f>betterSearch(B461,nodes!A:A,nodes!B:B)</f>
        <v>243</v>
      </c>
      <c r="F461" t="s">
        <v>279</v>
      </c>
      <c r="G461" t="s">
        <v>280</v>
      </c>
      <c r="H461" t="s">
        <v>281</v>
      </c>
      <c r="I461" t="s">
        <v>276</v>
      </c>
      <c r="J461" t="str">
        <f t="shared" si="7"/>
        <v>{"source":230,"target":243,"value":1},</v>
      </c>
    </row>
    <row r="462" spans="1:10" x14ac:dyDescent="0.25">
      <c r="A462" t="s">
        <v>233</v>
      </c>
      <c r="B462" t="s">
        <v>244</v>
      </c>
      <c r="C462">
        <v>1</v>
      </c>
      <c r="D462">
        <f>betterSearch(A462,nodes!A:A,nodes!B:B)</f>
        <v>231</v>
      </c>
      <c r="E462">
        <f>betterSearch(B462,nodes!A:A,nodes!B:B)</f>
        <v>243</v>
      </c>
      <c r="F462" t="s">
        <v>279</v>
      </c>
      <c r="G462" t="s">
        <v>280</v>
      </c>
      <c r="H462" t="s">
        <v>281</v>
      </c>
      <c r="I462" t="s">
        <v>276</v>
      </c>
      <c r="J462" t="str">
        <f t="shared" si="7"/>
        <v>{"source":231,"target":243,"value":1},</v>
      </c>
    </row>
    <row r="463" spans="1:10" x14ac:dyDescent="0.25">
      <c r="A463" t="s">
        <v>234</v>
      </c>
      <c r="B463" t="s">
        <v>244</v>
      </c>
      <c r="C463">
        <v>1</v>
      </c>
      <c r="D463">
        <f>betterSearch(A463,nodes!A:A,nodes!B:B)</f>
        <v>232</v>
      </c>
      <c r="E463">
        <f>betterSearch(B463,nodes!A:A,nodes!B:B)</f>
        <v>243</v>
      </c>
      <c r="F463" t="s">
        <v>279</v>
      </c>
      <c r="G463" t="s">
        <v>280</v>
      </c>
      <c r="H463" t="s">
        <v>281</v>
      </c>
      <c r="I463" t="s">
        <v>276</v>
      </c>
      <c r="J463" t="str">
        <f t="shared" si="7"/>
        <v>{"source":232,"target":243,"value":1},</v>
      </c>
    </row>
    <row r="464" spans="1:10" x14ac:dyDescent="0.25">
      <c r="A464" t="s">
        <v>235</v>
      </c>
      <c r="B464" t="s">
        <v>244</v>
      </c>
      <c r="C464">
        <v>1</v>
      </c>
      <c r="D464">
        <f>betterSearch(A464,nodes!A:A,nodes!B:B)</f>
        <v>233</v>
      </c>
      <c r="E464">
        <f>betterSearch(B464,nodes!A:A,nodes!B:B)</f>
        <v>243</v>
      </c>
      <c r="F464" t="s">
        <v>279</v>
      </c>
      <c r="G464" t="s">
        <v>280</v>
      </c>
      <c r="H464" t="s">
        <v>281</v>
      </c>
      <c r="I464" t="s">
        <v>276</v>
      </c>
      <c r="J464" t="str">
        <f t="shared" si="7"/>
        <v>{"source":233,"target":243,"value":1},</v>
      </c>
    </row>
    <row r="465" spans="1:10" x14ac:dyDescent="0.25">
      <c r="A465" t="s">
        <v>236</v>
      </c>
      <c r="B465" t="s">
        <v>244</v>
      </c>
      <c r="C465">
        <v>1</v>
      </c>
      <c r="D465">
        <f>betterSearch(A465,nodes!A:A,nodes!B:B)</f>
        <v>234</v>
      </c>
      <c r="E465">
        <f>betterSearch(B465,nodes!A:A,nodes!B:B)</f>
        <v>243</v>
      </c>
      <c r="F465" t="s">
        <v>279</v>
      </c>
      <c r="G465" t="s">
        <v>280</v>
      </c>
      <c r="H465" t="s">
        <v>281</v>
      </c>
      <c r="I465" t="s">
        <v>276</v>
      </c>
      <c r="J465" t="str">
        <f t="shared" si="7"/>
        <v>{"source":234,"target":243,"value":1},</v>
      </c>
    </row>
    <row r="466" spans="1:10" x14ac:dyDescent="0.25">
      <c r="A466" t="s">
        <v>237</v>
      </c>
      <c r="B466" t="s">
        <v>245</v>
      </c>
      <c r="C466">
        <v>1</v>
      </c>
      <c r="D466">
        <f>betterSearch(A466,nodes!A:A,nodes!B:B)</f>
        <v>235</v>
      </c>
      <c r="E466">
        <f>betterSearch(B466,nodes!A:A,nodes!B:B)</f>
        <v>244</v>
      </c>
      <c r="F466" t="s">
        <v>279</v>
      </c>
      <c r="G466" t="s">
        <v>280</v>
      </c>
      <c r="H466" t="s">
        <v>281</v>
      </c>
      <c r="I466" t="s">
        <v>276</v>
      </c>
      <c r="J466" t="str">
        <f t="shared" si="7"/>
        <v>{"source":235,"target":244,"value":1},</v>
      </c>
    </row>
    <row r="467" spans="1:10" x14ac:dyDescent="0.25">
      <c r="A467" t="s">
        <v>238</v>
      </c>
      <c r="B467" t="s">
        <v>245</v>
      </c>
      <c r="C467">
        <v>1</v>
      </c>
      <c r="D467">
        <f>betterSearch(A467,nodes!A:A,nodes!B:B)</f>
        <v>236</v>
      </c>
      <c r="E467">
        <f>betterSearch(B467,nodes!A:A,nodes!B:B)</f>
        <v>244</v>
      </c>
      <c r="F467" t="s">
        <v>279</v>
      </c>
      <c r="G467" t="s">
        <v>280</v>
      </c>
      <c r="H467" t="s">
        <v>281</v>
      </c>
      <c r="I467" t="s">
        <v>276</v>
      </c>
      <c r="J467" t="str">
        <f t="shared" si="7"/>
        <v>{"source":236,"target":244,"value":1},</v>
      </c>
    </row>
    <row r="468" spans="1:10" x14ac:dyDescent="0.25">
      <c r="A468" t="s">
        <v>240</v>
      </c>
      <c r="B468" t="s">
        <v>254</v>
      </c>
      <c r="C468">
        <v>1</v>
      </c>
      <c r="D468">
        <f>betterSearch(A468,nodes!A:A,nodes!B:B)</f>
        <v>238</v>
      </c>
      <c r="E468">
        <f>betterSearch(B468,nodes!A:A,nodes!B:B)</f>
        <v>254</v>
      </c>
      <c r="F468" t="s">
        <v>279</v>
      </c>
      <c r="G468" t="s">
        <v>280</v>
      </c>
      <c r="H468" t="s">
        <v>281</v>
      </c>
      <c r="I468" t="s">
        <v>276</v>
      </c>
      <c r="J468" t="str">
        <f t="shared" si="7"/>
        <v>{"source":238,"target":254,"value":1},</v>
      </c>
    </row>
    <row r="469" spans="1:10" x14ac:dyDescent="0.25">
      <c r="A469" t="s">
        <v>241</v>
      </c>
      <c r="B469" t="s">
        <v>254</v>
      </c>
      <c r="C469">
        <v>1</v>
      </c>
      <c r="D469">
        <f>betterSearch(A469,nodes!A:A,nodes!B:B)</f>
        <v>239</v>
      </c>
      <c r="E469">
        <f>betterSearch(B469,nodes!A:A,nodes!B:B)</f>
        <v>254</v>
      </c>
      <c r="F469" t="s">
        <v>279</v>
      </c>
      <c r="G469" t="s">
        <v>280</v>
      </c>
      <c r="H469" t="s">
        <v>281</v>
      </c>
      <c r="I469" t="s">
        <v>276</v>
      </c>
      <c r="J469" t="str">
        <f t="shared" si="7"/>
        <v>{"source":239,"target":254,"value":1},</v>
      </c>
    </row>
    <row r="470" spans="1:10" x14ac:dyDescent="0.25">
      <c r="A470" t="s">
        <v>242</v>
      </c>
      <c r="B470" t="s">
        <v>254</v>
      </c>
      <c r="C470">
        <v>1</v>
      </c>
      <c r="D470">
        <f>betterSearch(A470,nodes!A:A,nodes!B:B)</f>
        <v>240</v>
      </c>
      <c r="E470">
        <f>betterSearch(B470,nodes!A:A,nodes!B:B)</f>
        <v>254</v>
      </c>
      <c r="F470" t="s">
        <v>279</v>
      </c>
      <c r="G470" t="s">
        <v>280</v>
      </c>
      <c r="H470" t="s">
        <v>281</v>
      </c>
      <c r="I470" t="s">
        <v>276</v>
      </c>
      <c r="J470" t="str">
        <f t="shared" si="7"/>
        <v>{"source":240,"target":254,"value":1},</v>
      </c>
    </row>
    <row r="471" spans="1:10" x14ac:dyDescent="0.25">
      <c r="A471" t="s">
        <v>243</v>
      </c>
      <c r="B471" t="s">
        <v>254</v>
      </c>
      <c r="C471">
        <v>1</v>
      </c>
      <c r="D471">
        <f>betterSearch(A471,nodes!A:A,nodes!B:B)</f>
        <v>242</v>
      </c>
      <c r="E471">
        <f>betterSearch(B471,nodes!A:A,nodes!B:B)</f>
        <v>254</v>
      </c>
      <c r="F471" t="s">
        <v>279</v>
      </c>
      <c r="G471" t="s">
        <v>280</v>
      </c>
      <c r="H471" t="s">
        <v>281</v>
      </c>
      <c r="I471" t="s">
        <v>276</v>
      </c>
      <c r="J471" t="str">
        <f t="shared" si="7"/>
        <v>{"source":242,"target":254,"value":1},</v>
      </c>
    </row>
    <row r="472" spans="1:10" x14ac:dyDescent="0.25">
      <c r="A472" t="s">
        <v>244</v>
      </c>
      <c r="B472" t="s">
        <v>254</v>
      </c>
      <c r="C472">
        <v>1</v>
      </c>
      <c r="D472">
        <f>betterSearch(A472,nodes!A:A,nodes!B:B)</f>
        <v>243</v>
      </c>
      <c r="E472">
        <f>betterSearch(B472,nodes!A:A,nodes!B:B)</f>
        <v>254</v>
      </c>
      <c r="F472" t="s">
        <v>279</v>
      </c>
      <c r="G472" t="s">
        <v>280</v>
      </c>
      <c r="H472" t="s">
        <v>281</v>
      </c>
      <c r="I472" t="s">
        <v>276</v>
      </c>
      <c r="J472" t="str">
        <f t="shared" si="7"/>
        <v>{"source":243,"target":254,"value":1},</v>
      </c>
    </row>
    <row r="473" spans="1:10" x14ac:dyDescent="0.25">
      <c r="A473" t="s">
        <v>245</v>
      </c>
      <c r="B473" t="s">
        <v>254</v>
      </c>
      <c r="C473">
        <v>1</v>
      </c>
      <c r="D473">
        <f>betterSearch(A473,nodes!A:A,nodes!B:B)</f>
        <v>244</v>
      </c>
      <c r="E473">
        <f>betterSearch(B473,nodes!A:A,nodes!B:B)</f>
        <v>254</v>
      </c>
      <c r="F473" t="s">
        <v>279</v>
      </c>
      <c r="G473" t="s">
        <v>280</v>
      </c>
      <c r="H473" t="s">
        <v>281</v>
      </c>
      <c r="I473" t="s">
        <v>276</v>
      </c>
      <c r="J473" t="str">
        <f t="shared" si="7"/>
        <v>{"source":244,"target":254,"value":1},</v>
      </c>
    </row>
    <row r="474" spans="1:10" x14ac:dyDescent="0.25">
      <c r="A474" t="s">
        <v>246</v>
      </c>
      <c r="B474" t="s">
        <v>254</v>
      </c>
      <c r="C474">
        <v>1</v>
      </c>
      <c r="D474">
        <f>betterSearch(A474,nodes!A:A,nodes!B:B)</f>
        <v>245</v>
      </c>
      <c r="E474">
        <f>betterSearch(B474,nodes!A:A,nodes!B:B)</f>
        <v>254</v>
      </c>
      <c r="F474" t="s">
        <v>279</v>
      </c>
      <c r="G474" t="s">
        <v>280</v>
      </c>
      <c r="H474" t="s">
        <v>281</v>
      </c>
      <c r="I474" t="s">
        <v>276</v>
      </c>
      <c r="J474" t="str">
        <f t="shared" si="7"/>
        <v>{"source":245,"target":254,"value":1},</v>
      </c>
    </row>
    <row r="475" spans="1:10" x14ac:dyDescent="0.25">
      <c r="A475" t="s">
        <v>247</v>
      </c>
      <c r="B475" t="s">
        <v>254</v>
      </c>
      <c r="C475">
        <v>1</v>
      </c>
      <c r="D475">
        <f>betterSearch(A475,nodes!A:A,nodes!B:B)</f>
        <v>246</v>
      </c>
      <c r="E475">
        <f>betterSearch(B475,nodes!A:A,nodes!B:B)</f>
        <v>254</v>
      </c>
      <c r="F475" t="s">
        <v>279</v>
      </c>
      <c r="G475" t="s">
        <v>280</v>
      </c>
      <c r="H475" t="s">
        <v>281</v>
      </c>
      <c r="I475" t="s">
        <v>276</v>
      </c>
      <c r="J475" t="str">
        <f t="shared" si="7"/>
        <v>{"source":246,"target":254,"value":1},</v>
      </c>
    </row>
    <row r="476" spans="1:10" x14ac:dyDescent="0.25">
      <c r="A476" t="s">
        <v>248</v>
      </c>
      <c r="B476" t="s">
        <v>254</v>
      </c>
      <c r="C476">
        <v>1</v>
      </c>
      <c r="D476">
        <f>betterSearch(A476,nodes!A:A,nodes!B:B)</f>
        <v>247</v>
      </c>
      <c r="E476">
        <f>betterSearch(B476,nodes!A:A,nodes!B:B)</f>
        <v>254</v>
      </c>
      <c r="F476" t="s">
        <v>279</v>
      </c>
      <c r="G476" t="s">
        <v>280</v>
      </c>
      <c r="H476" t="s">
        <v>281</v>
      </c>
      <c r="I476" t="s">
        <v>276</v>
      </c>
      <c r="J476" t="str">
        <f t="shared" si="7"/>
        <v>{"source":247,"target":254,"value":1},</v>
      </c>
    </row>
    <row r="477" spans="1:10" x14ac:dyDescent="0.25">
      <c r="A477" t="s">
        <v>249</v>
      </c>
      <c r="B477" t="s">
        <v>255</v>
      </c>
      <c r="C477">
        <v>1</v>
      </c>
      <c r="D477">
        <f>betterSearch(A477,nodes!A:A,nodes!B:B)</f>
        <v>248</v>
      </c>
      <c r="E477">
        <f>betterSearch(B477,nodes!A:A,nodes!B:B)</f>
        <v>255</v>
      </c>
      <c r="F477" t="s">
        <v>279</v>
      </c>
      <c r="G477" t="s">
        <v>280</v>
      </c>
      <c r="H477" t="s">
        <v>281</v>
      </c>
      <c r="I477" t="s">
        <v>276</v>
      </c>
      <c r="J477" t="str">
        <f t="shared" si="7"/>
        <v>{"source":248,"target":255,"value":1},</v>
      </c>
    </row>
    <row r="478" spans="1:10" x14ac:dyDescent="0.25">
      <c r="A478" t="s">
        <v>250</v>
      </c>
      <c r="B478" t="s">
        <v>256</v>
      </c>
      <c r="C478">
        <v>1</v>
      </c>
      <c r="D478">
        <f>betterSearch(A478,nodes!A:A,nodes!B:B)</f>
        <v>249</v>
      </c>
      <c r="E478">
        <f>betterSearch(B478,nodes!A:A,nodes!B:B)</f>
        <v>256</v>
      </c>
      <c r="F478" t="s">
        <v>279</v>
      </c>
      <c r="G478" t="s">
        <v>280</v>
      </c>
      <c r="H478" t="s">
        <v>281</v>
      </c>
      <c r="I478" t="s">
        <v>276</v>
      </c>
      <c r="J478" t="str">
        <f t="shared" si="7"/>
        <v>{"source":249,"target":256,"value":1},</v>
      </c>
    </row>
    <row r="479" spans="1:10" x14ac:dyDescent="0.25">
      <c r="A479" t="s">
        <v>245</v>
      </c>
      <c r="B479" t="s">
        <v>256</v>
      </c>
      <c r="C479">
        <v>1</v>
      </c>
      <c r="D479">
        <f>betterSearch(A479,nodes!A:A,nodes!B:B)</f>
        <v>244</v>
      </c>
      <c r="E479">
        <f>betterSearch(B479,nodes!A:A,nodes!B:B)</f>
        <v>256</v>
      </c>
      <c r="F479" t="s">
        <v>279</v>
      </c>
      <c r="G479" t="s">
        <v>280</v>
      </c>
      <c r="H479" t="s">
        <v>281</v>
      </c>
      <c r="I479" t="s">
        <v>276</v>
      </c>
      <c r="J479" t="str">
        <f t="shared" si="7"/>
        <v>{"source":244,"target":256,"value":1},</v>
      </c>
    </row>
    <row r="480" spans="1:10" x14ac:dyDescent="0.25">
      <c r="A480" t="s">
        <v>242</v>
      </c>
      <c r="B480" t="s">
        <v>256</v>
      </c>
      <c r="C480">
        <v>1</v>
      </c>
      <c r="D480">
        <f>betterSearch(A480,nodes!A:A,nodes!B:B)</f>
        <v>240</v>
      </c>
      <c r="E480">
        <f>betterSearch(B480,nodes!A:A,nodes!B:B)</f>
        <v>256</v>
      </c>
      <c r="F480" t="s">
        <v>279</v>
      </c>
      <c r="G480" t="s">
        <v>280</v>
      </c>
      <c r="H480" t="s">
        <v>281</v>
      </c>
      <c r="I480" t="s">
        <v>276</v>
      </c>
      <c r="J480" t="str">
        <f t="shared" si="7"/>
        <v>{"source":240,"target":256,"value":1},</v>
      </c>
    </row>
    <row r="481" spans="1:10" x14ac:dyDescent="0.25">
      <c r="A481" t="s">
        <v>251</v>
      </c>
      <c r="B481" t="s">
        <v>257</v>
      </c>
      <c r="C481">
        <v>1</v>
      </c>
      <c r="D481">
        <f>betterSearch(A481,nodes!A:A,nodes!B:B)</f>
        <v>250</v>
      </c>
      <c r="E481">
        <f>betterSearch(B481,nodes!A:A,nodes!B:B)</f>
        <v>257</v>
      </c>
      <c r="F481" t="s">
        <v>279</v>
      </c>
      <c r="G481" t="s">
        <v>280</v>
      </c>
      <c r="H481" t="s">
        <v>281</v>
      </c>
      <c r="I481" t="s">
        <v>276</v>
      </c>
      <c r="J481" t="str">
        <f t="shared" si="7"/>
        <v>{"source":250,"target":257,"value":1},</v>
      </c>
    </row>
    <row r="482" spans="1:10" x14ac:dyDescent="0.25">
      <c r="A482" t="s">
        <v>252</v>
      </c>
      <c r="B482" t="s">
        <v>259</v>
      </c>
      <c r="C482">
        <v>1</v>
      </c>
      <c r="D482">
        <f>betterSearch(A482,nodes!A:A,nodes!B:B)</f>
        <v>252</v>
      </c>
      <c r="E482">
        <f>betterSearch(B482,nodes!A:A,nodes!B:B)</f>
        <v>259</v>
      </c>
      <c r="F482" t="s">
        <v>279</v>
      </c>
      <c r="G482" t="s">
        <v>280</v>
      </c>
      <c r="H482" t="s">
        <v>281</v>
      </c>
      <c r="I482" t="s">
        <v>276</v>
      </c>
      <c r="J482" t="str">
        <f t="shared" si="7"/>
        <v>{"source":252,"target":259,"value":1},</v>
      </c>
    </row>
    <row r="483" spans="1:10" x14ac:dyDescent="0.25">
      <c r="A483" t="s">
        <v>243</v>
      </c>
      <c r="B483" t="s">
        <v>260</v>
      </c>
      <c r="C483">
        <v>1</v>
      </c>
      <c r="D483">
        <f>betterSearch(A483,nodes!A:A,nodes!B:B)</f>
        <v>242</v>
      </c>
      <c r="E483">
        <f>betterSearch(B483,nodes!A:A,nodes!B:B)</f>
        <v>260</v>
      </c>
      <c r="F483" t="s">
        <v>279</v>
      </c>
      <c r="G483" t="s">
        <v>280</v>
      </c>
      <c r="H483" t="s">
        <v>281</v>
      </c>
      <c r="I483" t="s">
        <v>276</v>
      </c>
      <c r="J483" t="str">
        <f t="shared" si="7"/>
        <v>{"source":242,"target":260,"value":1},</v>
      </c>
    </row>
    <row r="484" spans="1:10" x14ac:dyDescent="0.25">
      <c r="A484" t="s">
        <v>253</v>
      </c>
      <c r="B484" t="s">
        <v>261</v>
      </c>
      <c r="C484">
        <v>1</v>
      </c>
      <c r="D484">
        <f>betterSearch(A484,nodes!A:A,nodes!B:B)</f>
        <v>253</v>
      </c>
      <c r="E484">
        <f>betterSearch(B484,nodes!A:A,nodes!B:B)</f>
        <v>261</v>
      </c>
      <c r="F484" t="s">
        <v>279</v>
      </c>
      <c r="G484" t="s">
        <v>280</v>
      </c>
      <c r="H484" t="s">
        <v>281</v>
      </c>
      <c r="I484" t="s">
        <v>276</v>
      </c>
      <c r="J484" t="str">
        <f t="shared" si="7"/>
        <v>{"source":253,"target":261,"value":1},</v>
      </c>
    </row>
    <row r="485" spans="1:10" x14ac:dyDescent="0.25">
      <c r="A485" t="s">
        <v>244</v>
      </c>
      <c r="B485" t="s">
        <v>261</v>
      </c>
      <c r="C485">
        <v>1</v>
      </c>
      <c r="D485">
        <f>betterSearch(A485,nodes!A:A,nodes!B:B)</f>
        <v>243</v>
      </c>
      <c r="E485">
        <f>betterSearch(B485,nodes!A:A,nodes!B:B)</f>
        <v>261</v>
      </c>
      <c r="F485" t="s">
        <v>279</v>
      </c>
      <c r="G485" t="s">
        <v>280</v>
      </c>
      <c r="H485" t="s">
        <v>281</v>
      </c>
      <c r="I485" t="s">
        <v>276</v>
      </c>
      <c r="J485" t="str">
        <f t="shared" si="7"/>
        <v>{"source":243,"target":261,"value":1},</v>
      </c>
    </row>
    <row r="486" spans="1:10" x14ac:dyDescent="0.25">
      <c r="A486" t="s">
        <v>245</v>
      </c>
      <c r="B486" t="s">
        <v>262</v>
      </c>
      <c r="C486">
        <v>1</v>
      </c>
      <c r="D486">
        <f>betterSearch(A486,nodes!A:A,nodes!B:B)</f>
        <v>244</v>
      </c>
      <c r="E486">
        <f>betterSearch(B486,nodes!A:A,nodes!B:B)</f>
        <v>262</v>
      </c>
      <c r="F486" t="s">
        <v>279</v>
      </c>
      <c r="G486" t="s">
        <v>280</v>
      </c>
      <c r="H486" t="s">
        <v>281</v>
      </c>
      <c r="I486" t="s">
        <v>276</v>
      </c>
      <c r="J486" t="str">
        <f t="shared" si="7"/>
        <v>{"source":244,"target":262,"value":1},</v>
      </c>
    </row>
    <row r="487" spans="1:10" x14ac:dyDescent="0.25">
      <c r="A487" t="s">
        <v>251</v>
      </c>
      <c r="B487" t="s">
        <v>263</v>
      </c>
      <c r="C487">
        <v>1</v>
      </c>
      <c r="D487">
        <f>betterSearch(A487,nodes!A:A,nodes!B:B)</f>
        <v>250</v>
      </c>
      <c r="E487">
        <f>betterSearch(B487,nodes!A:A,nodes!B:B)</f>
        <v>263</v>
      </c>
      <c r="F487" t="s">
        <v>279</v>
      </c>
      <c r="G487" t="s">
        <v>280</v>
      </c>
      <c r="H487" t="s">
        <v>281</v>
      </c>
      <c r="I487" t="s">
        <v>276</v>
      </c>
      <c r="J487" t="str">
        <f t="shared" si="7"/>
        <v>{"source":250,"target":263,"value":1},</v>
      </c>
    </row>
    <row r="488" spans="1:10" x14ac:dyDescent="0.25">
      <c r="A488" t="s">
        <v>254</v>
      </c>
      <c r="B488" t="s">
        <v>267</v>
      </c>
      <c r="C488">
        <v>1</v>
      </c>
      <c r="D488">
        <f>betterSearch(A488,nodes!A:A,nodes!B:B)</f>
        <v>254</v>
      </c>
      <c r="E488">
        <f>betterSearch(B488,nodes!A:A,nodes!B:B)</f>
        <v>267</v>
      </c>
      <c r="F488" t="s">
        <v>279</v>
      </c>
      <c r="G488" t="s">
        <v>280</v>
      </c>
      <c r="H488" t="s">
        <v>281</v>
      </c>
      <c r="I488" t="s">
        <v>276</v>
      </c>
      <c r="J488" t="str">
        <f t="shared" si="7"/>
        <v>{"source":254,"target":267,"value":1},</v>
      </c>
    </row>
    <row r="489" spans="1:10" x14ac:dyDescent="0.25">
      <c r="A489" t="s">
        <v>255</v>
      </c>
      <c r="B489" t="s">
        <v>265</v>
      </c>
      <c r="C489">
        <v>1</v>
      </c>
      <c r="D489">
        <f>betterSearch(A489,nodes!A:A,nodes!B:B)</f>
        <v>255</v>
      </c>
      <c r="E489">
        <f>betterSearch(B489,nodes!A:A,nodes!B:B)</f>
        <v>265</v>
      </c>
      <c r="F489" t="s">
        <v>279</v>
      </c>
      <c r="G489" t="s">
        <v>280</v>
      </c>
      <c r="H489" t="s">
        <v>281</v>
      </c>
      <c r="I489" t="s">
        <v>276</v>
      </c>
      <c r="J489" t="str">
        <f t="shared" si="7"/>
        <v>{"source":255,"target":265,"value":1},</v>
      </c>
    </row>
    <row r="490" spans="1:10" x14ac:dyDescent="0.25">
      <c r="A490" t="s">
        <v>256</v>
      </c>
      <c r="B490" t="s">
        <v>264</v>
      </c>
      <c r="C490">
        <v>1</v>
      </c>
      <c r="D490">
        <f>betterSearch(A490,nodes!A:A,nodes!B:B)</f>
        <v>256</v>
      </c>
      <c r="E490">
        <f>betterSearch(B490,nodes!A:A,nodes!B:B)</f>
        <v>264</v>
      </c>
      <c r="F490" t="s">
        <v>279</v>
      </c>
      <c r="G490" t="s">
        <v>280</v>
      </c>
      <c r="H490" t="s">
        <v>281</v>
      </c>
      <c r="I490" t="s">
        <v>276</v>
      </c>
      <c r="J490" t="str">
        <f t="shared" si="7"/>
        <v>{"source":256,"target":264,"value":1},</v>
      </c>
    </row>
    <row r="491" spans="1:10" x14ac:dyDescent="0.25">
      <c r="A491" t="s">
        <v>257</v>
      </c>
      <c r="B491" t="s">
        <v>264</v>
      </c>
      <c r="C491">
        <v>1</v>
      </c>
      <c r="D491">
        <f>betterSearch(A491,nodes!A:A,nodes!B:B)</f>
        <v>257</v>
      </c>
      <c r="E491">
        <f>betterSearch(B491,nodes!A:A,nodes!B:B)</f>
        <v>264</v>
      </c>
      <c r="F491" t="s">
        <v>279</v>
      </c>
      <c r="G491" t="s">
        <v>280</v>
      </c>
      <c r="H491" t="s">
        <v>281</v>
      </c>
      <c r="I491" t="s">
        <v>276</v>
      </c>
      <c r="J491" t="str">
        <f t="shared" si="7"/>
        <v>{"source":257,"target":264,"value":1},</v>
      </c>
    </row>
    <row r="492" spans="1:10" x14ac:dyDescent="0.25">
      <c r="A492" t="s">
        <v>258</v>
      </c>
      <c r="B492" t="s">
        <v>269</v>
      </c>
      <c r="C492">
        <v>1</v>
      </c>
      <c r="D492">
        <f>betterSearch(A492,nodes!A:A,nodes!B:B)</f>
        <v>258</v>
      </c>
      <c r="E492">
        <f>betterSearch(B492,nodes!A:A,nodes!B:B)</f>
        <v>269</v>
      </c>
      <c r="F492" t="s">
        <v>279</v>
      </c>
      <c r="G492" t="s">
        <v>280</v>
      </c>
      <c r="H492" t="s">
        <v>281</v>
      </c>
      <c r="I492" t="s">
        <v>276</v>
      </c>
      <c r="J492" t="str">
        <f t="shared" si="7"/>
        <v>{"source":258,"target":269,"value":1},</v>
      </c>
    </row>
    <row r="493" spans="1:10" x14ac:dyDescent="0.25">
      <c r="A493" t="s">
        <v>259</v>
      </c>
      <c r="B493" t="s">
        <v>269</v>
      </c>
      <c r="C493">
        <v>1</v>
      </c>
      <c r="D493">
        <f>betterSearch(A493,nodes!A:A,nodes!B:B)</f>
        <v>259</v>
      </c>
      <c r="E493">
        <f>betterSearch(B493,nodes!A:A,nodes!B:B)</f>
        <v>269</v>
      </c>
      <c r="F493" t="s">
        <v>279</v>
      </c>
      <c r="G493" t="s">
        <v>280</v>
      </c>
      <c r="H493" t="s">
        <v>281</v>
      </c>
      <c r="I493" t="s">
        <v>276</v>
      </c>
      <c r="J493" t="str">
        <f t="shared" si="7"/>
        <v>{"source":259,"target":269,"value":1},</v>
      </c>
    </row>
    <row r="494" spans="1:10" x14ac:dyDescent="0.25">
      <c r="A494" t="s">
        <v>270</v>
      </c>
      <c r="B494" t="s">
        <v>266</v>
      </c>
      <c r="C494">
        <v>1</v>
      </c>
      <c r="D494">
        <f>betterSearch(A494,nodes!A:A,nodes!B:B)</f>
        <v>270</v>
      </c>
      <c r="E494">
        <f>betterSearch(B494,nodes!A:A,nodes!B:B)</f>
        <v>266</v>
      </c>
      <c r="F494" t="s">
        <v>279</v>
      </c>
      <c r="G494" t="s">
        <v>280</v>
      </c>
      <c r="H494" t="s">
        <v>281</v>
      </c>
      <c r="I494" t="s">
        <v>276</v>
      </c>
      <c r="J494" t="str">
        <f t="shared" si="7"/>
        <v>{"source":270,"target":266,"value":1},</v>
      </c>
    </row>
    <row r="495" spans="1:10" x14ac:dyDescent="0.25">
      <c r="A495" t="s">
        <v>261</v>
      </c>
      <c r="B495" t="s">
        <v>264</v>
      </c>
      <c r="C495">
        <v>1</v>
      </c>
      <c r="D495">
        <f>betterSearch(A495,nodes!A:A,nodes!B:B)</f>
        <v>261</v>
      </c>
      <c r="E495">
        <f>betterSearch(B495,nodes!A:A,nodes!B:B)</f>
        <v>264</v>
      </c>
      <c r="F495" t="s">
        <v>279</v>
      </c>
      <c r="G495" t="s">
        <v>280</v>
      </c>
      <c r="H495" t="s">
        <v>281</v>
      </c>
      <c r="I495" t="s">
        <v>276</v>
      </c>
      <c r="J495" t="str">
        <f t="shared" si="7"/>
        <v>{"source":261,"target":264,"value":1},</v>
      </c>
    </row>
    <row r="496" spans="1:10" x14ac:dyDescent="0.25">
      <c r="A496" t="s">
        <v>262</v>
      </c>
      <c r="B496" t="s">
        <v>266</v>
      </c>
      <c r="C496">
        <v>1</v>
      </c>
      <c r="D496">
        <f>betterSearch(A496,nodes!A:A,nodes!B:B)</f>
        <v>262</v>
      </c>
      <c r="E496">
        <f>betterSearch(B496,nodes!A:A,nodes!B:B)</f>
        <v>266</v>
      </c>
      <c r="F496" t="s">
        <v>279</v>
      </c>
      <c r="G496" t="s">
        <v>280</v>
      </c>
      <c r="H496" t="s">
        <v>281</v>
      </c>
      <c r="I496" t="s">
        <v>276</v>
      </c>
      <c r="J496" t="str">
        <f t="shared" si="7"/>
        <v>{"source":262,"target":266,"value":1},</v>
      </c>
    </row>
    <row r="497" spans="1:10" x14ac:dyDescent="0.25">
      <c r="A497" t="s">
        <v>263</v>
      </c>
      <c r="B497" t="s">
        <v>264</v>
      </c>
      <c r="C497">
        <v>1</v>
      </c>
      <c r="D497">
        <f>betterSearch(A497,nodes!A:A,nodes!B:B)</f>
        <v>263</v>
      </c>
      <c r="E497">
        <f>betterSearch(B497,nodes!A:A,nodes!B:B)</f>
        <v>264</v>
      </c>
      <c r="F497" t="s">
        <v>279</v>
      </c>
      <c r="G497" t="s">
        <v>280</v>
      </c>
      <c r="H497" t="s">
        <v>281</v>
      </c>
      <c r="I497" t="s">
        <v>290</v>
      </c>
      <c r="J497" t="str">
        <f t="shared" si="7"/>
        <v>{"source":263,"target":264,"value":1}</v>
      </c>
    </row>
    <row r="498" spans="1:10" x14ac:dyDescent="0.25">
      <c r="J498" t="s">
        <v>289</v>
      </c>
    </row>
  </sheetData>
  <autoFilter ref="A1:E497"/>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nodes</vt:lpstr>
      <vt:lpstr>links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cp:lastModifiedBy>
  <dcterms:created xsi:type="dcterms:W3CDTF">2017-08-04T16:01:01Z</dcterms:created>
  <dcterms:modified xsi:type="dcterms:W3CDTF">2017-08-04T16:39:53Z</dcterms:modified>
</cp:coreProperties>
</file>